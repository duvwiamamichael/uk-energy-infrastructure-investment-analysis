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82e8dd43a7c83e7/Desktop/Portfolio work/"/>
    </mc:Choice>
  </mc:AlternateContent>
  <xr:revisionPtr revIDLastSave="159" documentId="8_{8D3FB148-78A3-4DB6-A5E7-4E01F2EE8205}" xr6:coauthVersionLast="47" xr6:coauthVersionMax="47" xr10:uidLastSave="{308E6A2D-8A5A-4104-805A-05E18C7FF0FE}"/>
  <bookViews>
    <workbookView xWindow="10770" yWindow="-22125" windowWidth="38640" windowHeight="21240" activeTab="3" xr2:uid="{00000000-000D-0000-FFFF-FFFF00000000}"/>
  </bookViews>
  <sheets>
    <sheet name="Project_Data" sheetId="1" r:id="rId1"/>
    <sheet name="Read_Me" sheetId="2" r:id="rId2"/>
    <sheet name="Assumptions-What-If Analysis" sheetId="3" r:id="rId3"/>
    <sheet name="Data Analysis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4" l="1"/>
  <c r="Y6" i="4"/>
  <c r="Y5" i="4"/>
  <c r="Y7" i="4"/>
  <c r="Y2" i="4"/>
  <c r="Y3" i="4"/>
  <c r="Y8" i="4"/>
  <c r="D2" i="3"/>
  <c r="C2" i="3"/>
  <c r="L3" i="4"/>
  <c r="L4" i="4"/>
  <c r="L5" i="4"/>
  <c r="L6" i="4"/>
  <c r="L7" i="4"/>
  <c r="L8" i="4"/>
  <c r="L2" i="4"/>
  <c r="K3" i="4"/>
  <c r="K4" i="4"/>
  <c r="K5" i="4"/>
  <c r="K6" i="4"/>
  <c r="K7" i="4"/>
  <c r="K8" i="4"/>
  <c r="K2" i="4"/>
  <c r="J3" i="4"/>
  <c r="J4" i="4"/>
  <c r="J5" i="4"/>
  <c r="J6" i="4"/>
  <c r="J7" i="4"/>
  <c r="J8" i="4"/>
  <c r="J2" i="4"/>
  <c r="I3" i="4"/>
  <c r="I4" i="4"/>
  <c r="I5" i="4"/>
  <c r="I6" i="4"/>
  <c r="I7" i="4"/>
  <c r="I8" i="4"/>
  <c r="I2" i="4"/>
  <c r="B4" i="4"/>
  <c r="C4" i="4"/>
  <c r="D4" i="4"/>
  <c r="E4" i="4"/>
  <c r="F4" i="4"/>
  <c r="F3" i="4"/>
  <c r="F5" i="4"/>
  <c r="F6" i="4"/>
  <c r="F7" i="4"/>
  <c r="F8" i="4"/>
  <c r="F2" i="4"/>
  <c r="B3" i="4"/>
  <c r="B5" i="4"/>
  <c r="B6" i="4"/>
  <c r="B7" i="4"/>
  <c r="B8" i="4"/>
  <c r="B2" i="4"/>
  <c r="C3" i="4"/>
  <c r="C5" i="4"/>
  <c r="C6" i="4"/>
  <c r="C7" i="4"/>
  <c r="C8" i="4"/>
  <c r="C2" i="4"/>
  <c r="D3" i="4"/>
  <c r="D5" i="4"/>
  <c r="D6" i="4"/>
  <c r="D7" i="4"/>
  <c r="D8" i="4"/>
  <c r="D2" i="4"/>
  <c r="E3" i="4"/>
  <c r="E5" i="4"/>
  <c r="E6" i="4"/>
  <c r="E7" i="4"/>
  <c r="E8" i="4"/>
  <c r="E2" i="4"/>
  <c r="B3" i="3" l="1"/>
  <c r="D3" i="3" s="1"/>
  <c r="P2" i="4"/>
  <c r="P8" i="4"/>
  <c r="P4" i="4"/>
  <c r="P7" i="4"/>
  <c r="P3" i="4"/>
  <c r="P6" i="4"/>
  <c r="P5" i="4"/>
  <c r="O8" i="4"/>
  <c r="O5" i="4"/>
  <c r="O7" i="4"/>
  <c r="O4" i="4"/>
  <c r="O3" i="4"/>
  <c r="O6" i="4"/>
  <c r="O2" i="4"/>
  <c r="N7" i="4"/>
  <c r="N5" i="4"/>
  <c r="N6" i="4"/>
  <c r="N8" i="4"/>
  <c r="N3" i="4"/>
  <c r="N4" i="4"/>
  <c r="N2" i="4"/>
  <c r="M5" i="4"/>
  <c r="M7" i="4"/>
  <c r="M4" i="4"/>
  <c r="M8" i="4"/>
  <c r="M3" i="4"/>
  <c r="M6" i="4"/>
  <c r="M2" i="4"/>
  <c r="D4" i="3" l="1"/>
  <c r="D5" i="3" s="1"/>
  <c r="C3" i="3"/>
  <c r="B4" i="3"/>
  <c r="B5" i="3" s="1"/>
  <c r="C4" i="3"/>
  <c r="C5" i="3" s="1"/>
  <c r="Q2" i="4"/>
  <c r="Q4" i="4"/>
  <c r="Q6" i="4"/>
  <c r="Q7" i="4"/>
  <c r="Q3" i="4"/>
  <c r="Q5" i="4"/>
  <c r="Q8" i="4"/>
</calcChain>
</file>

<file path=xl/sharedStrings.xml><?xml version="1.0" encoding="utf-8"?>
<sst xmlns="http://schemas.openxmlformats.org/spreadsheetml/2006/main" count="3905" uniqueCount="948">
  <si>
    <t>Project_ID</t>
  </si>
  <si>
    <t>Project_Name</t>
  </si>
  <si>
    <t>Asset_Type</t>
  </si>
  <si>
    <t>Region</t>
  </si>
  <si>
    <t>Commissioning_Year</t>
  </si>
  <si>
    <t>Capacity_MW</t>
  </si>
  <si>
    <t>Load_Factor_pct</t>
  </si>
  <si>
    <t>Capex_GBPm</t>
  </si>
  <si>
    <t>Annual_Revenue_GBPm</t>
  </si>
  <si>
    <t>Annual_Opex_GBPm</t>
  </si>
  <si>
    <t>Annual_Carbon_Savings_ktCO2e</t>
  </si>
  <si>
    <t>Project_Life_Years</t>
  </si>
  <si>
    <t>Planning_Risk</t>
  </si>
  <si>
    <t>Grid_Risk</t>
  </si>
  <si>
    <t>Supply_Chain_Risk</t>
  </si>
  <si>
    <t>Technology_Readiness</t>
  </si>
  <si>
    <t>Development_Status</t>
  </si>
  <si>
    <t>Expected_ROI_pct</t>
  </si>
  <si>
    <t>NPV_GBPm</t>
  </si>
  <si>
    <t>Payback_Years</t>
  </si>
  <si>
    <t>Jobs_Supported</t>
  </si>
  <si>
    <t>Policy_Support_Score</t>
  </si>
  <si>
    <t>EIP-0001</t>
  </si>
  <si>
    <t>Offshore Wind Project 001</t>
  </si>
  <si>
    <t>Offshore Wind</t>
  </si>
  <si>
    <t>Wales</t>
  </si>
  <si>
    <t>Medium</t>
  </si>
  <si>
    <t>Low</t>
  </si>
  <si>
    <t>Commercial</t>
  </si>
  <si>
    <t>Operational</t>
  </si>
  <si>
    <t>EIP-0002</t>
  </si>
  <si>
    <t>CCUS Project 002</t>
  </si>
  <si>
    <t>CCUS</t>
  </si>
  <si>
    <t>UK Midlands</t>
  </si>
  <si>
    <t>High</t>
  </si>
  <si>
    <t>Demonstration</t>
  </si>
  <si>
    <t>Construction</t>
  </si>
  <si>
    <t>EIP-0003</t>
  </si>
  <si>
    <t>Gas Infrastructure Project 003</t>
  </si>
  <si>
    <t>Gas Infrastructure</t>
  </si>
  <si>
    <t>East of England</t>
  </si>
  <si>
    <t>EIP-0004</t>
  </si>
  <si>
    <t>Battery Storage Project 004</t>
  </si>
  <si>
    <t>Battery Storage</t>
  </si>
  <si>
    <t>EIP-0005</t>
  </si>
  <si>
    <t>Gas Infrastructure Project 005</t>
  </si>
  <si>
    <t>UK North</t>
  </si>
  <si>
    <t>Planning</t>
  </si>
  <si>
    <t>EIP-0006</t>
  </si>
  <si>
    <t>Battery Storage Project 006</t>
  </si>
  <si>
    <t>EIP-0007</t>
  </si>
  <si>
    <t>Gas Infrastructure Project 007</t>
  </si>
  <si>
    <t>Early Commercial</t>
  </si>
  <si>
    <t>EIP-0008</t>
  </si>
  <si>
    <t>Gas Infrastructure Project 008</t>
  </si>
  <si>
    <t>EIP-0009</t>
  </si>
  <si>
    <t>Gas Infrastructure Project 009</t>
  </si>
  <si>
    <t>Scotland</t>
  </si>
  <si>
    <t>EIP-0010</t>
  </si>
  <si>
    <t>Battery Storage Project 010</t>
  </si>
  <si>
    <t>EIP-0011</t>
  </si>
  <si>
    <t>Solar PV Project 011</t>
  </si>
  <si>
    <t>Solar PV</t>
  </si>
  <si>
    <t>EIP-0012</t>
  </si>
  <si>
    <t>CCUS Project 012</t>
  </si>
  <si>
    <t>Early Development</t>
  </si>
  <si>
    <t>EIP-0013</t>
  </si>
  <si>
    <t>Battery Storage Project 013</t>
  </si>
  <si>
    <t>EIP-0014</t>
  </si>
  <si>
    <t>Offshore Wind Project 014</t>
  </si>
  <si>
    <t>EIP-0015</t>
  </si>
  <si>
    <t>Gas Infrastructure Project 015</t>
  </si>
  <si>
    <t>EIP-0016</t>
  </si>
  <si>
    <t>Solar PV Project 016</t>
  </si>
  <si>
    <t>EIP-0017</t>
  </si>
  <si>
    <t>Solar PV Project 017</t>
  </si>
  <si>
    <t>EIP-0018</t>
  </si>
  <si>
    <t>Offshore Wind Project 018</t>
  </si>
  <si>
    <t>UK South</t>
  </si>
  <si>
    <t>EIP-0019</t>
  </si>
  <si>
    <t>Battery Storage Project 019</t>
  </si>
  <si>
    <t>EIP-0020</t>
  </si>
  <si>
    <t>Battery Storage Project 020</t>
  </si>
  <si>
    <t>EIP-0021</t>
  </si>
  <si>
    <t>Offshore Wind Project 021</t>
  </si>
  <si>
    <t>EIP-0022</t>
  </si>
  <si>
    <t>Battery Storage Project 022</t>
  </si>
  <si>
    <t>EIP-0023</t>
  </si>
  <si>
    <t>Battery Storage Project 023</t>
  </si>
  <si>
    <t>EIP-0024</t>
  </si>
  <si>
    <t>Battery Storage Project 024</t>
  </si>
  <si>
    <t>EIP-0025</t>
  </si>
  <si>
    <t>CCUS Project 025</t>
  </si>
  <si>
    <t>EIP-0026</t>
  </si>
  <si>
    <t>Gas Infrastructure Project 026</t>
  </si>
  <si>
    <t>EIP-0027</t>
  </si>
  <si>
    <t>Heat Pumps Project 027</t>
  </si>
  <si>
    <t>Heat Pumps</t>
  </si>
  <si>
    <t>EIP-0028</t>
  </si>
  <si>
    <t>Offshore Wind Project 028</t>
  </si>
  <si>
    <t>EIP-0029</t>
  </si>
  <si>
    <t>Battery Storage Project 029</t>
  </si>
  <si>
    <t>EIP-0030</t>
  </si>
  <si>
    <t>Solar PV Project 030</t>
  </si>
  <si>
    <t>EIP-0031</t>
  </si>
  <si>
    <t>CCUS Project 031</t>
  </si>
  <si>
    <t>EIP-0032</t>
  </si>
  <si>
    <t>Battery Storage Project 032</t>
  </si>
  <si>
    <t>EIP-0033</t>
  </si>
  <si>
    <t>CCUS Project 033</t>
  </si>
  <si>
    <t>EIP-0034</t>
  </si>
  <si>
    <t>CCUS Project 034</t>
  </si>
  <si>
    <t>EIP-0035</t>
  </si>
  <si>
    <t>Heat Pumps Project 035</t>
  </si>
  <si>
    <t>EIP-0036</t>
  </si>
  <si>
    <t>Gas Infrastructure Project 036</t>
  </si>
  <si>
    <t>EIP-0037</t>
  </si>
  <si>
    <t>Solar PV Project 037</t>
  </si>
  <si>
    <t>EIP-0038</t>
  </si>
  <si>
    <t>Hydrogen Project 038</t>
  </si>
  <si>
    <t>Hydrogen</t>
  </si>
  <si>
    <t>EIP-0039</t>
  </si>
  <si>
    <t>CCUS Project 039</t>
  </si>
  <si>
    <t>EIP-0040</t>
  </si>
  <si>
    <t>CCUS Project 040</t>
  </si>
  <si>
    <t>EIP-0041</t>
  </si>
  <si>
    <t>Gas Infrastructure Project 041</t>
  </si>
  <si>
    <t>EIP-0042</t>
  </si>
  <si>
    <t>Hydrogen Project 042</t>
  </si>
  <si>
    <t>EIP-0043</t>
  </si>
  <si>
    <t>CCUS Project 043</t>
  </si>
  <si>
    <t>EIP-0044</t>
  </si>
  <si>
    <t>Battery Storage Project 044</t>
  </si>
  <si>
    <t>EIP-0045</t>
  </si>
  <si>
    <t>Offshore Wind Project 045</t>
  </si>
  <si>
    <t>EIP-0046</t>
  </si>
  <si>
    <t>Battery Storage Project 046</t>
  </si>
  <si>
    <t>EIP-0047</t>
  </si>
  <si>
    <t>Heat Pumps Project 047</t>
  </si>
  <si>
    <t>EIP-0048</t>
  </si>
  <si>
    <t>Heat Pumps Project 048</t>
  </si>
  <si>
    <t>EIP-0049</t>
  </si>
  <si>
    <t>Heat Pumps Project 049</t>
  </si>
  <si>
    <t>EIP-0050</t>
  </si>
  <si>
    <t>Heat Pumps Project 050</t>
  </si>
  <si>
    <t>EIP-0051</t>
  </si>
  <si>
    <t>Heat Pumps Project 051</t>
  </si>
  <si>
    <t>EIP-0052</t>
  </si>
  <si>
    <t>Gas Infrastructure Project 052</t>
  </si>
  <si>
    <t>EIP-0053</t>
  </si>
  <si>
    <t>Offshore Wind Project 053</t>
  </si>
  <si>
    <t>EIP-0054</t>
  </si>
  <si>
    <t>CCUS Project 054</t>
  </si>
  <si>
    <t>EIP-0055</t>
  </si>
  <si>
    <t>Gas Infrastructure Project 055</t>
  </si>
  <si>
    <t>EIP-0056</t>
  </si>
  <si>
    <t>Gas Infrastructure Project 056</t>
  </si>
  <si>
    <t>EIP-0057</t>
  </si>
  <si>
    <t>Hydrogen Project 057</t>
  </si>
  <si>
    <t>EIP-0058</t>
  </si>
  <si>
    <t>Battery Storage Project 058</t>
  </si>
  <si>
    <t>EIP-0059</t>
  </si>
  <si>
    <t>Gas Infrastructure Project 059</t>
  </si>
  <si>
    <t>EIP-0060</t>
  </si>
  <si>
    <t>Solar PV Project 060</t>
  </si>
  <si>
    <t>EIP-0061</t>
  </si>
  <si>
    <t>Heat Pumps Project 061</t>
  </si>
  <si>
    <t>EIP-0062</t>
  </si>
  <si>
    <t>Solar PV Project 062</t>
  </si>
  <si>
    <t>EIP-0063</t>
  </si>
  <si>
    <t>Gas Infrastructure Project 063</t>
  </si>
  <si>
    <t>EIP-0064</t>
  </si>
  <si>
    <t>CCUS Project 064</t>
  </si>
  <si>
    <t>EIP-0065</t>
  </si>
  <si>
    <t>Solar PV Project 065</t>
  </si>
  <si>
    <t>EIP-0066</t>
  </si>
  <si>
    <t>Battery Storage Project 066</t>
  </si>
  <si>
    <t>EIP-0067</t>
  </si>
  <si>
    <t>Battery Storage Project 067</t>
  </si>
  <si>
    <t>EIP-0068</t>
  </si>
  <si>
    <t>Hydrogen Project 068</t>
  </si>
  <si>
    <t>EIP-0069</t>
  </si>
  <si>
    <t>Battery Storage Project 069</t>
  </si>
  <si>
    <t>EIP-0070</t>
  </si>
  <si>
    <t>Hydrogen Project 070</t>
  </si>
  <si>
    <t>EIP-0071</t>
  </si>
  <si>
    <t>Gas Infrastructure Project 071</t>
  </si>
  <si>
    <t>EIP-0072</t>
  </si>
  <si>
    <t>Hydrogen Project 072</t>
  </si>
  <si>
    <t>EIP-0073</t>
  </si>
  <si>
    <t>Hydrogen Project 073</t>
  </si>
  <si>
    <t>EIP-0074</t>
  </si>
  <si>
    <t>Heat Pumps Project 074</t>
  </si>
  <si>
    <t>EIP-0075</t>
  </si>
  <si>
    <t>Solar PV Project 075</t>
  </si>
  <si>
    <t>EIP-0076</t>
  </si>
  <si>
    <t>Solar PV Project 076</t>
  </si>
  <si>
    <t>EIP-0077</t>
  </si>
  <si>
    <t>Hydrogen Project 077</t>
  </si>
  <si>
    <t>EIP-0078</t>
  </si>
  <si>
    <t>Heat Pumps Project 078</t>
  </si>
  <si>
    <t>EIP-0079</t>
  </si>
  <si>
    <t>Gas Infrastructure Project 079</t>
  </si>
  <si>
    <t>EIP-0080</t>
  </si>
  <si>
    <t>Solar PV Project 080</t>
  </si>
  <si>
    <t>EIP-0081</t>
  </si>
  <si>
    <t>Heat Pumps Project 081</t>
  </si>
  <si>
    <t>EIP-0082</t>
  </si>
  <si>
    <t>Heat Pumps Project 082</t>
  </si>
  <si>
    <t>EIP-0083</t>
  </si>
  <si>
    <t>Solar PV Project 083</t>
  </si>
  <si>
    <t>EIP-0084</t>
  </si>
  <si>
    <t>Hydrogen Project 084</t>
  </si>
  <si>
    <t>EIP-0085</t>
  </si>
  <si>
    <t>Offshore Wind Project 085</t>
  </si>
  <si>
    <t>EIP-0086</t>
  </si>
  <si>
    <t>Gas Infrastructure Project 086</t>
  </si>
  <si>
    <t>EIP-0087</t>
  </si>
  <si>
    <t>Heat Pumps Project 087</t>
  </si>
  <si>
    <t>EIP-0088</t>
  </si>
  <si>
    <t>Hydrogen Project 088</t>
  </si>
  <si>
    <t>EIP-0089</t>
  </si>
  <si>
    <t>CCUS Project 089</t>
  </si>
  <si>
    <t>EIP-0090</t>
  </si>
  <si>
    <t>Heat Pumps Project 090</t>
  </si>
  <si>
    <t>EIP-0091</t>
  </si>
  <si>
    <t>Offshore Wind Project 091</t>
  </si>
  <si>
    <t>EIP-0092</t>
  </si>
  <si>
    <t>Hydrogen Project 092</t>
  </si>
  <si>
    <t>EIP-0093</t>
  </si>
  <si>
    <t>Offshore Wind Project 093</t>
  </si>
  <si>
    <t>EIP-0094</t>
  </si>
  <si>
    <t>Offshore Wind Project 094</t>
  </si>
  <si>
    <t>EIP-0095</t>
  </si>
  <si>
    <t>Offshore Wind Project 095</t>
  </si>
  <si>
    <t>EIP-0096</t>
  </si>
  <si>
    <t>Hydrogen Project 096</t>
  </si>
  <si>
    <t>EIP-0097</t>
  </si>
  <si>
    <t>Hydrogen Project 097</t>
  </si>
  <si>
    <t>EIP-0098</t>
  </si>
  <si>
    <t>Gas Infrastructure Project 098</t>
  </si>
  <si>
    <t>EIP-0099</t>
  </si>
  <si>
    <t>Battery Storage Project 099</t>
  </si>
  <si>
    <t>EIP-0100</t>
  </si>
  <si>
    <t>Battery Storage Project 100</t>
  </si>
  <si>
    <t>EIP-0101</t>
  </si>
  <si>
    <t>Offshore Wind Project 101</t>
  </si>
  <si>
    <t>EIP-0102</t>
  </si>
  <si>
    <t>Hydrogen Project 102</t>
  </si>
  <si>
    <t>EIP-0103</t>
  </si>
  <si>
    <t>Hydrogen Project 103</t>
  </si>
  <si>
    <t>EIP-0104</t>
  </si>
  <si>
    <t>Heat Pumps Project 104</t>
  </si>
  <si>
    <t>EIP-0105</t>
  </si>
  <si>
    <t>Hydrogen Project 105</t>
  </si>
  <si>
    <t>EIP-0106</t>
  </si>
  <si>
    <t>Heat Pumps Project 106</t>
  </si>
  <si>
    <t>EIP-0107</t>
  </si>
  <si>
    <t>Hydrogen Project 107</t>
  </si>
  <si>
    <t>EIP-0108</t>
  </si>
  <si>
    <t>CCUS Project 108</t>
  </si>
  <si>
    <t>EIP-0109</t>
  </si>
  <si>
    <t>Battery Storage Project 109</t>
  </si>
  <si>
    <t>EIP-0110</t>
  </si>
  <si>
    <t>CCUS Project 110</t>
  </si>
  <si>
    <t>EIP-0111</t>
  </si>
  <si>
    <t>Hydrogen Project 111</t>
  </si>
  <si>
    <t>EIP-0112</t>
  </si>
  <si>
    <t>Heat Pumps Project 112</t>
  </si>
  <si>
    <t>EIP-0113</t>
  </si>
  <si>
    <t>Solar PV Project 113</t>
  </si>
  <si>
    <t>EIP-0114</t>
  </si>
  <si>
    <t>Heat Pumps Project 114</t>
  </si>
  <si>
    <t>EIP-0115</t>
  </si>
  <si>
    <t>Offshore Wind Project 115</t>
  </si>
  <si>
    <t>EIP-0116</t>
  </si>
  <si>
    <t>Hydrogen Project 116</t>
  </si>
  <si>
    <t>EIP-0117</t>
  </si>
  <si>
    <t>Solar PV Project 117</t>
  </si>
  <si>
    <t>EIP-0118</t>
  </si>
  <si>
    <t>Solar PV Project 118</t>
  </si>
  <si>
    <t>EIP-0119</t>
  </si>
  <si>
    <t>Gas Infrastructure Project 119</t>
  </si>
  <si>
    <t>EIP-0120</t>
  </si>
  <si>
    <t>Heat Pumps Project 120</t>
  </si>
  <si>
    <t>EIP-0121</t>
  </si>
  <si>
    <t>Gas Infrastructure Project 121</t>
  </si>
  <si>
    <t>EIP-0122</t>
  </si>
  <si>
    <t>CCUS Project 122</t>
  </si>
  <si>
    <t>EIP-0123</t>
  </si>
  <si>
    <t>Offshore Wind Project 123</t>
  </si>
  <si>
    <t>EIP-0124</t>
  </si>
  <si>
    <t>Hydrogen Project 124</t>
  </si>
  <si>
    <t>EIP-0125</t>
  </si>
  <si>
    <t>Battery Storage Project 125</t>
  </si>
  <si>
    <t>EIP-0126</t>
  </si>
  <si>
    <t>Offshore Wind Project 126</t>
  </si>
  <si>
    <t>EIP-0127</t>
  </si>
  <si>
    <t>Offshore Wind Project 127</t>
  </si>
  <si>
    <t>EIP-0128</t>
  </si>
  <si>
    <t>Solar PV Project 128</t>
  </si>
  <si>
    <t>EIP-0129</t>
  </si>
  <si>
    <t>Hydrogen Project 129</t>
  </si>
  <si>
    <t>EIP-0130</t>
  </si>
  <si>
    <t>CCUS Project 130</t>
  </si>
  <si>
    <t>EIP-0131</t>
  </si>
  <si>
    <t>Offshore Wind Project 131</t>
  </si>
  <si>
    <t>EIP-0132</t>
  </si>
  <si>
    <t>Solar PV Project 132</t>
  </si>
  <si>
    <t>EIP-0133</t>
  </si>
  <si>
    <t>Gas Infrastructure Project 133</t>
  </si>
  <si>
    <t>EIP-0134</t>
  </si>
  <si>
    <t>Battery Storage Project 134</t>
  </si>
  <si>
    <t>EIP-0135</t>
  </si>
  <si>
    <t>Battery Storage Project 135</t>
  </si>
  <si>
    <t>EIP-0136</t>
  </si>
  <si>
    <t>Battery Storage Project 136</t>
  </si>
  <si>
    <t>EIP-0137</t>
  </si>
  <si>
    <t>CCUS Project 137</t>
  </si>
  <si>
    <t>EIP-0138</t>
  </si>
  <si>
    <t>CCUS Project 138</t>
  </si>
  <si>
    <t>EIP-0139</t>
  </si>
  <si>
    <t>Gas Infrastructure Project 139</t>
  </si>
  <si>
    <t>EIP-0140</t>
  </si>
  <si>
    <t>CCUS Project 140</t>
  </si>
  <si>
    <t>EIP-0141</t>
  </si>
  <si>
    <t>Hydrogen Project 141</t>
  </si>
  <si>
    <t>EIP-0142</t>
  </si>
  <si>
    <t>Battery Storage Project 142</t>
  </si>
  <si>
    <t>EIP-0143</t>
  </si>
  <si>
    <t>Gas Infrastructure Project 143</t>
  </si>
  <si>
    <t>EIP-0144</t>
  </si>
  <si>
    <t>Gas Infrastructure Project 144</t>
  </si>
  <si>
    <t>EIP-0145</t>
  </si>
  <si>
    <t>Hydrogen Project 145</t>
  </si>
  <si>
    <t>EIP-0146</t>
  </si>
  <si>
    <t>Gas Infrastructure Project 146</t>
  </si>
  <si>
    <t>EIP-0147</t>
  </si>
  <si>
    <t>Hydrogen Project 147</t>
  </si>
  <si>
    <t>EIP-0148</t>
  </si>
  <si>
    <t>Offshore Wind Project 148</t>
  </si>
  <si>
    <t>EIP-0149</t>
  </si>
  <si>
    <t>Solar PV Project 149</t>
  </si>
  <si>
    <t>EIP-0150</t>
  </si>
  <si>
    <t>Offshore Wind Project 150</t>
  </si>
  <si>
    <t>EIP-0151</t>
  </si>
  <si>
    <t>Solar PV Project 151</t>
  </si>
  <si>
    <t>EIP-0152</t>
  </si>
  <si>
    <t>Offshore Wind Project 152</t>
  </si>
  <si>
    <t>EIP-0153</t>
  </si>
  <si>
    <t>Gas Infrastructure Project 153</t>
  </si>
  <si>
    <t>EIP-0154</t>
  </si>
  <si>
    <t>Heat Pumps Project 154</t>
  </si>
  <si>
    <t>EIP-0155</t>
  </si>
  <si>
    <t>Battery Storage Project 155</t>
  </si>
  <si>
    <t>EIP-0156</t>
  </si>
  <si>
    <t>Battery Storage Project 156</t>
  </si>
  <si>
    <t>EIP-0157</t>
  </si>
  <si>
    <t>Solar PV Project 157</t>
  </si>
  <si>
    <t>EIP-0158</t>
  </si>
  <si>
    <t>Solar PV Project 158</t>
  </si>
  <si>
    <t>EIP-0159</t>
  </si>
  <si>
    <t>CCUS Project 159</t>
  </si>
  <si>
    <t>EIP-0160</t>
  </si>
  <si>
    <t>Offshore Wind Project 160</t>
  </si>
  <si>
    <t>EIP-0161</t>
  </si>
  <si>
    <t>Solar PV Project 161</t>
  </si>
  <si>
    <t>EIP-0162</t>
  </si>
  <si>
    <t>Offshore Wind Project 162</t>
  </si>
  <si>
    <t>EIP-0163</t>
  </si>
  <si>
    <t>Hydrogen Project 163</t>
  </si>
  <si>
    <t>EIP-0164</t>
  </si>
  <si>
    <t>Offshore Wind Project 164</t>
  </si>
  <si>
    <t>EIP-0165</t>
  </si>
  <si>
    <t>Battery Storage Project 165</t>
  </si>
  <si>
    <t>EIP-0166</t>
  </si>
  <si>
    <t>Offshore Wind Project 166</t>
  </si>
  <si>
    <t>EIP-0167</t>
  </si>
  <si>
    <t>Battery Storage Project 167</t>
  </si>
  <si>
    <t>EIP-0168</t>
  </si>
  <si>
    <t>Heat Pumps Project 168</t>
  </si>
  <si>
    <t>EIP-0169</t>
  </si>
  <si>
    <t>Offshore Wind Project 169</t>
  </si>
  <si>
    <t>EIP-0170</t>
  </si>
  <si>
    <t>Heat Pumps Project 170</t>
  </si>
  <si>
    <t>EIP-0171</t>
  </si>
  <si>
    <t>Gas Infrastructure Project 171</t>
  </si>
  <si>
    <t>EIP-0172</t>
  </si>
  <si>
    <t>CCUS Project 172</t>
  </si>
  <si>
    <t>EIP-0173</t>
  </si>
  <si>
    <t>CCUS Project 173</t>
  </si>
  <si>
    <t>EIP-0174</t>
  </si>
  <si>
    <t>Offshore Wind Project 174</t>
  </si>
  <si>
    <t>EIP-0175</t>
  </si>
  <si>
    <t>Offshore Wind Project 175</t>
  </si>
  <si>
    <t>EIP-0176</t>
  </si>
  <si>
    <t>Solar PV Project 176</t>
  </si>
  <si>
    <t>EIP-0177</t>
  </si>
  <si>
    <t>Heat Pumps Project 177</t>
  </si>
  <si>
    <t>EIP-0178</t>
  </si>
  <si>
    <t>Battery Storage Project 178</t>
  </si>
  <si>
    <t>EIP-0179</t>
  </si>
  <si>
    <t>CCUS Project 179</t>
  </si>
  <si>
    <t>EIP-0180</t>
  </si>
  <si>
    <t>Hydrogen Project 180</t>
  </si>
  <si>
    <t>EIP-0181</t>
  </si>
  <si>
    <t>Offshore Wind Project 181</t>
  </si>
  <si>
    <t>EIP-0182</t>
  </si>
  <si>
    <t>Solar PV Project 182</t>
  </si>
  <si>
    <t>EIP-0183</t>
  </si>
  <si>
    <t>Solar PV Project 183</t>
  </si>
  <si>
    <t>EIP-0184</t>
  </si>
  <si>
    <t>CCUS Project 184</t>
  </si>
  <si>
    <t>EIP-0185</t>
  </si>
  <si>
    <t>Hydrogen Project 185</t>
  </si>
  <si>
    <t>EIP-0186</t>
  </si>
  <si>
    <t>Battery Storage Project 186</t>
  </si>
  <si>
    <t>EIP-0187</t>
  </si>
  <si>
    <t>Offshore Wind Project 187</t>
  </si>
  <si>
    <t>EIP-0188</t>
  </si>
  <si>
    <t>Solar PV Project 188</t>
  </si>
  <si>
    <t>EIP-0189</t>
  </si>
  <si>
    <t>Offshore Wind Project 189</t>
  </si>
  <si>
    <t>EIP-0190</t>
  </si>
  <si>
    <t>Gas Infrastructure Project 190</t>
  </si>
  <si>
    <t>EIP-0191</t>
  </si>
  <si>
    <t>CCUS Project 191</t>
  </si>
  <si>
    <t>EIP-0192</t>
  </si>
  <si>
    <t>Heat Pumps Project 192</t>
  </si>
  <si>
    <t>EIP-0193</t>
  </si>
  <si>
    <t>Battery Storage Project 193</t>
  </si>
  <si>
    <t>EIP-0194</t>
  </si>
  <si>
    <t>Battery Storage Project 194</t>
  </si>
  <si>
    <t>EIP-0195</t>
  </si>
  <si>
    <t>Hydrogen Project 195</t>
  </si>
  <si>
    <t>EIP-0196</t>
  </si>
  <si>
    <t>Offshore Wind Project 196</t>
  </si>
  <si>
    <t>EIP-0197</t>
  </si>
  <si>
    <t>Heat Pumps Project 197</t>
  </si>
  <si>
    <t>EIP-0198</t>
  </si>
  <si>
    <t>Heat Pumps Project 198</t>
  </si>
  <si>
    <t>EIP-0199</t>
  </si>
  <si>
    <t>Offshore Wind Project 199</t>
  </si>
  <si>
    <t>EIP-0200</t>
  </si>
  <si>
    <t>Solar PV Project 200</t>
  </si>
  <si>
    <t>EIP-0201</t>
  </si>
  <si>
    <t>Battery Storage Project 201</t>
  </si>
  <si>
    <t>EIP-0202</t>
  </si>
  <si>
    <t>CCUS Project 202</t>
  </si>
  <si>
    <t>EIP-0203</t>
  </si>
  <si>
    <t>Gas Infrastructure Project 203</t>
  </si>
  <si>
    <t>EIP-0204</t>
  </si>
  <si>
    <t>CCUS Project 204</t>
  </si>
  <si>
    <t>EIP-0205</t>
  </si>
  <si>
    <t>Battery Storage Project 205</t>
  </si>
  <si>
    <t>EIP-0206</t>
  </si>
  <si>
    <t>Gas Infrastructure Project 206</t>
  </si>
  <si>
    <t>EIP-0207</t>
  </si>
  <si>
    <t>CCUS Project 207</t>
  </si>
  <si>
    <t>EIP-0208</t>
  </si>
  <si>
    <t>Gas Infrastructure Project 208</t>
  </si>
  <si>
    <t>EIP-0209</t>
  </si>
  <si>
    <t>Offshore Wind Project 209</t>
  </si>
  <si>
    <t>EIP-0210</t>
  </si>
  <si>
    <t>Offshore Wind Project 210</t>
  </si>
  <si>
    <t>EIP-0211</t>
  </si>
  <si>
    <t>Heat Pumps Project 211</t>
  </si>
  <si>
    <t>EIP-0212</t>
  </si>
  <si>
    <t>Gas Infrastructure Project 212</t>
  </si>
  <si>
    <t>EIP-0213</t>
  </si>
  <si>
    <t>CCUS Project 213</t>
  </si>
  <si>
    <t>EIP-0214</t>
  </si>
  <si>
    <t>Solar PV Project 214</t>
  </si>
  <si>
    <t>EIP-0215</t>
  </si>
  <si>
    <t>Hydrogen Project 215</t>
  </si>
  <si>
    <t>EIP-0216</t>
  </si>
  <si>
    <t>CCUS Project 216</t>
  </si>
  <si>
    <t>EIP-0217</t>
  </si>
  <si>
    <t>Solar PV Project 217</t>
  </si>
  <si>
    <t>EIP-0218</t>
  </si>
  <si>
    <t>Offshore Wind Project 218</t>
  </si>
  <si>
    <t>EIP-0219</t>
  </si>
  <si>
    <t>CCUS Project 219</t>
  </si>
  <si>
    <t>EIP-0220</t>
  </si>
  <si>
    <t>Battery Storage Project 220</t>
  </si>
  <si>
    <t>EIP-0221</t>
  </si>
  <si>
    <t>Battery Storage Project 221</t>
  </si>
  <si>
    <t>EIP-0222</t>
  </si>
  <si>
    <t>Gas Infrastructure Project 222</t>
  </si>
  <si>
    <t>EIP-0223</t>
  </si>
  <si>
    <t>CCUS Project 223</t>
  </si>
  <si>
    <t>EIP-0224</t>
  </si>
  <si>
    <t>Offshore Wind Project 224</t>
  </si>
  <si>
    <t>EIP-0225</t>
  </si>
  <si>
    <t>Heat Pumps Project 225</t>
  </si>
  <si>
    <t>EIP-0226</t>
  </si>
  <si>
    <t>CCUS Project 226</t>
  </si>
  <si>
    <t>EIP-0227</t>
  </si>
  <si>
    <t>Heat Pumps Project 227</t>
  </si>
  <si>
    <t>EIP-0228</t>
  </si>
  <si>
    <t>Battery Storage Project 228</t>
  </si>
  <si>
    <t>EIP-0229</t>
  </si>
  <si>
    <t>Solar PV Project 229</t>
  </si>
  <si>
    <t>EIP-0230</t>
  </si>
  <si>
    <t>Battery Storage Project 230</t>
  </si>
  <si>
    <t>EIP-0231</t>
  </si>
  <si>
    <t>Offshore Wind Project 231</t>
  </si>
  <si>
    <t>EIP-0232</t>
  </si>
  <si>
    <t>Hydrogen Project 232</t>
  </si>
  <si>
    <t>EIP-0233</t>
  </si>
  <si>
    <t>Gas Infrastructure Project 233</t>
  </si>
  <si>
    <t>EIP-0234</t>
  </si>
  <si>
    <t>Solar PV Project 234</t>
  </si>
  <si>
    <t>EIP-0235</t>
  </si>
  <si>
    <t>Hydrogen Project 235</t>
  </si>
  <si>
    <t>EIP-0236</t>
  </si>
  <si>
    <t>Offshore Wind Project 236</t>
  </si>
  <si>
    <t>EIP-0237</t>
  </si>
  <si>
    <t>Hydrogen Project 237</t>
  </si>
  <si>
    <t>EIP-0238</t>
  </si>
  <si>
    <t>CCUS Project 238</t>
  </si>
  <si>
    <t>EIP-0239</t>
  </si>
  <si>
    <t>Offshore Wind Project 239</t>
  </si>
  <si>
    <t>EIP-0240</t>
  </si>
  <si>
    <t>CCUS Project 240</t>
  </si>
  <si>
    <t>EIP-0241</t>
  </si>
  <si>
    <t>Hydrogen Project 241</t>
  </si>
  <si>
    <t>EIP-0242</t>
  </si>
  <si>
    <t>Heat Pumps Project 242</t>
  </si>
  <si>
    <t>EIP-0243</t>
  </si>
  <si>
    <t>Hydrogen Project 243</t>
  </si>
  <si>
    <t>EIP-0244</t>
  </si>
  <si>
    <t>Offshore Wind Project 244</t>
  </si>
  <si>
    <t>EIP-0245</t>
  </si>
  <si>
    <t>Heat Pumps Project 245</t>
  </si>
  <si>
    <t>EIP-0246</t>
  </si>
  <si>
    <t>CCUS Project 246</t>
  </si>
  <si>
    <t>EIP-0247</t>
  </si>
  <si>
    <t>Battery Storage Project 247</t>
  </si>
  <si>
    <t>EIP-0248</t>
  </si>
  <si>
    <t>Solar PV Project 248</t>
  </si>
  <si>
    <t>EIP-0249</t>
  </si>
  <si>
    <t>Gas Infrastructure Project 249</t>
  </si>
  <si>
    <t>EIP-0250</t>
  </si>
  <si>
    <t>Gas Infrastructure Project 250</t>
  </si>
  <si>
    <t>EIP-0251</t>
  </si>
  <si>
    <t>Solar PV Project 251</t>
  </si>
  <si>
    <t>EIP-0252</t>
  </si>
  <si>
    <t>Offshore Wind Project 252</t>
  </si>
  <si>
    <t>EIP-0253</t>
  </si>
  <si>
    <t>CCUS Project 253</t>
  </si>
  <si>
    <t>EIP-0254</t>
  </si>
  <si>
    <t>Solar PV Project 254</t>
  </si>
  <si>
    <t>EIP-0255</t>
  </si>
  <si>
    <t>CCUS Project 255</t>
  </si>
  <si>
    <t>EIP-0256</t>
  </si>
  <si>
    <t>Solar PV Project 256</t>
  </si>
  <si>
    <t>EIP-0257</t>
  </si>
  <si>
    <t>Gas Infrastructure Project 257</t>
  </si>
  <si>
    <t>EIP-0258</t>
  </si>
  <si>
    <t>Heat Pumps Project 258</t>
  </si>
  <si>
    <t>EIP-0259</t>
  </si>
  <si>
    <t>Hydrogen Project 259</t>
  </si>
  <si>
    <t>EIP-0260</t>
  </si>
  <si>
    <t>Offshore Wind Project 260</t>
  </si>
  <si>
    <t>EIP-0261</t>
  </si>
  <si>
    <t>Battery Storage Project 261</t>
  </si>
  <si>
    <t>EIP-0262</t>
  </si>
  <si>
    <t>Battery Storage Project 262</t>
  </si>
  <si>
    <t>EIP-0263</t>
  </si>
  <si>
    <t>Gas Infrastructure Project 263</t>
  </si>
  <si>
    <t>EIP-0264</t>
  </si>
  <si>
    <t>Hydrogen Project 264</t>
  </si>
  <si>
    <t>EIP-0265</t>
  </si>
  <si>
    <t>Gas Infrastructure Project 265</t>
  </si>
  <si>
    <t>EIP-0266</t>
  </si>
  <si>
    <t>Hydrogen Project 266</t>
  </si>
  <si>
    <t>EIP-0267</t>
  </si>
  <si>
    <t>Hydrogen Project 267</t>
  </si>
  <si>
    <t>EIP-0268</t>
  </si>
  <si>
    <t>Solar PV Project 268</t>
  </si>
  <si>
    <t>EIP-0269</t>
  </si>
  <si>
    <t>Hydrogen Project 269</t>
  </si>
  <si>
    <t>EIP-0270</t>
  </si>
  <si>
    <t>Offshore Wind Project 270</t>
  </si>
  <si>
    <t>EIP-0271</t>
  </si>
  <si>
    <t>Gas Infrastructure Project 271</t>
  </si>
  <si>
    <t>EIP-0272</t>
  </si>
  <si>
    <t>Gas Infrastructure Project 272</t>
  </si>
  <si>
    <t>EIP-0273</t>
  </si>
  <si>
    <t>Battery Storage Project 273</t>
  </si>
  <si>
    <t>EIP-0274</t>
  </si>
  <si>
    <t>Heat Pumps Project 274</t>
  </si>
  <si>
    <t>EIP-0275</t>
  </si>
  <si>
    <t>CCUS Project 275</t>
  </si>
  <si>
    <t>EIP-0276</t>
  </si>
  <si>
    <t>CCUS Project 276</t>
  </si>
  <si>
    <t>EIP-0277</t>
  </si>
  <si>
    <t>Offshore Wind Project 277</t>
  </si>
  <si>
    <t>EIP-0278</t>
  </si>
  <si>
    <t>CCUS Project 278</t>
  </si>
  <si>
    <t>EIP-0279</t>
  </si>
  <si>
    <t>Gas Infrastructure Project 279</t>
  </si>
  <si>
    <t>EIP-0280</t>
  </si>
  <si>
    <t>Solar PV Project 280</t>
  </si>
  <si>
    <t>EIP-0281</t>
  </si>
  <si>
    <t>Offshore Wind Project 281</t>
  </si>
  <si>
    <t>EIP-0282</t>
  </si>
  <si>
    <t>Solar PV Project 282</t>
  </si>
  <si>
    <t>EIP-0283</t>
  </si>
  <si>
    <t>Heat Pumps Project 283</t>
  </si>
  <si>
    <t>EIP-0284</t>
  </si>
  <si>
    <t>Battery Storage Project 284</t>
  </si>
  <si>
    <t>EIP-0285</t>
  </si>
  <si>
    <t>Gas Infrastructure Project 285</t>
  </si>
  <si>
    <t>EIP-0286</t>
  </si>
  <si>
    <t>Offshore Wind Project 286</t>
  </si>
  <si>
    <t>EIP-0287</t>
  </si>
  <si>
    <t>Offshore Wind Project 287</t>
  </si>
  <si>
    <t>EIP-0288</t>
  </si>
  <si>
    <t>Hydrogen Project 288</t>
  </si>
  <si>
    <t>EIP-0289</t>
  </si>
  <si>
    <t>Offshore Wind Project 289</t>
  </si>
  <si>
    <t>EIP-0290</t>
  </si>
  <si>
    <t>Heat Pumps Project 290</t>
  </si>
  <si>
    <t>EIP-0291</t>
  </si>
  <si>
    <t>Offshore Wind Project 291</t>
  </si>
  <si>
    <t>EIP-0292</t>
  </si>
  <si>
    <t>CCUS Project 292</t>
  </si>
  <si>
    <t>EIP-0293</t>
  </si>
  <si>
    <t>Offshore Wind Project 293</t>
  </si>
  <si>
    <t>EIP-0294</t>
  </si>
  <si>
    <t>Gas Infrastructure Project 294</t>
  </si>
  <si>
    <t>EIP-0295</t>
  </si>
  <si>
    <t>Solar PV Project 295</t>
  </si>
  <si>
    <t>EIP-0296</t>
  </si>
  <si>
    <t>Solar PV Project 296</t>
  </si>
  <si>
    <t>EIP-0297</t>
  </si>
  <si>
    <t>Gas Infrastructure Project 297</t>
  </si>
  <si>
    <t>EIP-0298</t>
  </si>
  <si>
    <t>Solar PV Project 298</t>
  </si>
  <si>
    <t>EIP-0299</t>
  </si>
  <si>
    <t>Heat Pumps Project 299</t>
  </si>
  <si>
    <t>EIP-0300</t>
  </si>
  <si>
    <t>Solar PV Project 300</t>
  </si>
  <si>
    <t>EIP-0301</t>
  </si>
  <si>
    <t>Offshore Wind Project 301</t>
  </si>
  <si>
    <t>EIP-0302</t>
  </si>
  <si>
    <t>Battery Storage Project 302</t>
  </si>
  <si>
    <t>EIP-0303</t>
  </si>
  <si>
    <t>Hydrogen Project 303</t>
  </si>
  <si>
    <t>EIP-0304</t>
  </si>
  <si>
    <t>Gas Infrastructure Project 304</t>
  </si>
  <si>
    <t>EIP-0305</t>
  </si>
  <si>
    <t>Hydrogen Project 305</t>
  </si>
  <si>
    <t>EIP-0306</t>
  </si>
  <si>
    <t>Heat Pumps Project 306</t>
  </si>
  <si>
    <t>EIP-0307</t>
  </si>
  <si>
    <t>Gas Infrastructure Project 307</t>
  </si>
  <si>
    <t>EIP-0308</t>
  </si>
  <si>
    <t>Battery Storage Project 308</t>
  </si>
  <si>
    <t>EIP-0309</t>
  </si>
  <si>
    <t>Offshore Wind Project 309</t>
  </si>
  <si>
    <t>EIP-0310</t>
  </si>
  <si>
    <t>Offshore Wind Project 310</t>
  </si>
  <si>
    <t>EIP-0311</t>
  </si>
  <si>
    <t>Heat Pumps Project 311</t>
  </si>
  <si>
    <t>EIP-0312</t>
  </si>
  <si>
    <t>Heat Pumps Project 312</t>
  </si>
  <si>
    <t>EIP-0313</t>
  </si>
  <si>
    <t>Heat Pumps Project 313</t>
  </si>
  <si>
    <t>EIP-0314</t>
  </si>
  <si>
    <t>CCUS Project 314</t>
  </si>
  <si>
    <t>EIP-0315</t>
  </si>
  <si>
    <t>CCUS Project 315</t>
  </si>
  <si>
    <t>EIP-0316</t>
  </si>
  <si>
    <t>Battery Storage Project 316</t>
  </si>
  <si>
    <t>EIP-0317</t>
  </si>
  <si>
    <t>Gas Infrastructure Project 317</t>
  </si>
  <si>
    <t>EIP-0318</t>
  </si>
  <si>
    <t>Hydrogen Project 318</t>
  </si>
  <si>
    <t>EIP-0319</t>
  </si>
  <si>
    <t>Hydrogen Project 319</t>
  </si>
  <si>
    <t>EIP-0320</t>
  </si>
  <si>
    <t>Solar PV Project 320</t>
  </si>
  <si>
    <t>EIP-0321</t>
  </si>
  <si>
    <t>Solar PV Project 321</t>
  </si>
  <si>
    <t>EIP-0322</t>
  </si>
  <si>
    <t>CCUS Project 322</t>
  </si>
  <si>
    <t>EIP-0323</t>
  </si>
  <si>
    <t>CCUS Project 323</t>
  </si>
  <si>
    <t>EIP-0324</t>
  </si>
  <si>
    <t>Gas Infrastructure Project 324</t>
  </si>
  <si>
    <t>EIP-0325</t>
  </si>
  <si>
    <t>Battery Storage Project 325</t>
  </si>
  <si>
    <t>EIP-0326</t>
  </si>
  <si>
    <t>CCUS Project 326</t>
  </si>
  <si>
    <t>EIP-0327</t>
  </si>
  <si>
    <t>Gas Infrastructure Project 327</t>
  </si>
  <si>
    <t>EIP-0328</t>
  </si>
  <si>
    <t>Heat Pumps Project 328</t>
  </si>
  <si>
    <t>EIP-0329</t>
  </si>
  <si>
    <t>Solar PV Project 329</t>
  </si>
  <si>
    <t>EIP-0330</t>
  </si>
  <si>
    <t>Gas Infrastructure Project 330</t>
  </si>
  <si>
    <t>EIP-0331</t>
  </si>
  <si>
    <t>Battery Storage Project 331</t>
  </si>
  <si>
    <t>EIP-0332</t>
  </si>
  <si>
    <t>Offshore Wind Project 332</t>
  </si>
  <si>
    <t>EIP-0333</t>
  </si>
  <si>
    <t>Solar PV Project 333</t>
  </si>
  <si>
    <t>EIP-0334</t>
  </si>
  <si>
    <t>Heat Pumps Project 334</t>
  </si>
  <si>
    <t>EIP-0335</t>
  </si>
  <si>
    <t>Battery Storage Project 335</t>
  </si>
  <si>
    <t>EIP-0336</t>
  </si>
  <si>
    <t>Gas Infrastructure Project 336</t>
  </si>
  <si>
    <t>EIP-0337</t>
  </si>
  <si>
    <t>Gas Infrastructure Project 337</t>
  </si>
  <si>
    <t>EIP-0338</t>
  </si>
  <si>
    <t>Offshore Wind Project 338</t>
  </si>
  <si>
    <t>EIP-0339</t>
  </si>
  <si>
    <t>Offshore Wind Project 339</t>
  </si>
  <si>
    <t>EIP-0340</t>
  </si>
  <si>
    <t>Offshore Wind Project 340</t>
  </si>
  <si>
    <t>EIP-0341</t>
  </si>
  <si>
    <t>Hydrogen Project 341</t>
  </si>
  <si>
    <t>EIP-0342</t>
  </si>
  <si>
    <t>Battery Storage Project 342</t>
  </si>
  <si>
    <t>EIP-0343</t>
  </si>
  <si>
    <t>Solar PV Project 343</t>
  </si>
  <si>
    <t>EIP-0344</t>
  </si>
  <si>
    <t>Heat Pumps Project 344</t>
  </si>
  <si>
    <t>EIP-0345</t>
  </si>
  <si>
    <t>CCUS Project 345</t>
  </si>
  <si>
    <t>EIP-0346</t>
  </si>
  <si>
    <t>Hydrogen Project 346</t>
  </si>
  <si>
    <t>EIP-0347</t>
  </si>
  <si>
    <t>Heat Pumps Project 347</t>
  </si>
  <si>
    <t>EIP-0348</t>
  </si>
  <si>
    <t>Hydrogen Project 348</t>
  </si>
  <si>
    <t>EIP-0349</t>
  </si>
  <si>
    <t>Heat Pumps Project 349</t>
  </si>
  <si>
    <t>EIP-0350</t>
  </si>
  <si>
    <t>Solar PV Project 350</t>
  </si>
  <si>
    <t>EIP-0351</t>
  </si>
  <si>
    <t>Gas Infrastructure Project 351</t>
  </si>
  <si>
    <t>EIP-0352</t>
  </si>
  <si>
    <t>Offshore Wind Project 352</t>
  </si>
  <si>
    <t>EIP-0353</t>
  </si>
  <si>
    <t>Solar PV Project 353</t>
  </si>
  <si>
    <t>EIP-0354</t>
  </si>
  <si>
    <t>Heat Pumps Project 354</t>
  </si>
  <si>
    <t>EIP-0355</t>
  </si>
  <si>
    <t>Offshore Wind Project 355</t>
  </si>
  <si>
    <t>EIP-0356</t>
  </si>
  <si>
    <t>Battery Storage Project 356</t>
  </si>
  <si>
    <t>EIP-0357</t>
  </si>
  <si>
    <t>Solar PV Project 357</t>
  </si>
  <si>
    <t>EIP-0358</t>
  </si>
  <si>
    <t>Hydrogen Project 358</t>
  </si>
  <si>
    <t>EIP-0359</t>
  </si>
  <si>
    <t>Solar PV Project 359</t>
  </si>
  <si>
    <t>EIP-0360</t>
  </si>
  <si>
    <t>Battery Storage Project 360</t>
  </si>
  <si>
    <t>EIP-0361</t>
  </si>
  <si>
    <t>CCUS Project 361</t>
  </si>
  <si>
    <t>EIP-0362</t>
  </si>
  <si>
    <t>Gas Infrastructure Project 362</t>
  </si>
  <si>
    <t>EIP-0363</t>
  </si>
  <si>
    <t>Solar PV Project 363</t>
  </si>
  <si>
    <t>EIP-0364</t>
  </si>
  <si>
    <t>Solar PV Project 364</t>
  </si>
  <si>
    <t>EIP-0365</t>
  </si>
  <si>
    <t>Offshore Wind Project 365</t>
  </si>
  <si>
    <t>EIP-0366</t>
  </si>
  <si>
    <t>Offshore Wind Project 366</t>
  </si>
  <si>
    <t>EIP-0367</t>
  </si>
  <si>
    <t>Hydrogen Project 367</t>
  </si>
  <si>
    <t>EIP-0368</t>
  </si>
  <si>
    <t>Heat Pumps Project 368</t>
  </si>
  <si>
    <t>EIP-0369</t>
  </si>
  <si>
    <t>Offshore Wind Project 369</t>
  </si>
  <si>
    <t>EIP-0370</t>
  </si>
  <si>
    <t>Offshore Wind Project 370</t>
  </si>
  <si>
    <t>EIP-0371</t>
  </si>
  <si>
    <t>Hydrogen Project 371</t>
  </si>
  <si>
    <t>EIP-0372</t>
  </si>
  <si>
    <t>Battery Storage Project 372</t>
  </si>
  <si>
    <t>EIP-0373</t>
  </si>
  <si>
    <t>CCUS Project 373</t>
  </si>
  <si>
    <t>EIP-0374</t>
  </si>
  <si>
    <t>Gas Infrastructure Project 374</t>
  </si>
  <si>
    <t>EIP-0375</t>
  </si>
  <si>
    <t>Heat Pumps Project 375</t>
  </si>
  <si>
    <t>EIP-0376</t>
  </si>
  <si>
    <t>CCUS Project 376</t>
  </si>
  <si>
    <t>EIP-0377</t>
  </si>
  <si>
    <t>Battery Storage Project 377</t>
  </si>
  <si>
    <t>EIP-0378</t>
  </si>
  <si>
    <t>Offshore Wind Project 378</t>
  </si>
  <si>
    <t>EIP-0379</t>
  </si>
  <si>
    <t>Offshore Wind Project 379</t>
  </si>
  <si>
    <t>EIP-0380</t>
  </si>
  <si>
    <t>Battery Storage Project 380</t>
  </si>
  <si>
    <t>EIP-0381</t>
  </si>
  <si>
    <t>Gas Infrastructure Project 381</t>
  </si>
  <si>
    <t>EIP-0382</t>
  </si>
  <si>
    <t>Gas Infrastructure Project 382</t>
  </si>
  <si>
    <t>EIP-0383</t>
  </si>
  <si>
    <t>CCUS Project 383</t>
  </si>
  <si>
    <t>EIP-0384</t>
  </si>
  <si>
    <t>Gas Infrastructure Project 384</t>
  </si>
  <si>
    <t>EIP-0385</t>
  </si>
  <si>
    <t>Heat Pumps Project 385</t>
  </si>
  <si>
    <t>EIP-0386</t>
  </si>
  <si>
    <t>Offshore Wind Project 386</t>
  </si>
  <si>
    <t>EIP-0387</t>
  </si>
  <si>
    <t>Offshore Wind Project 387</t>
  </si>
  <si>
    <t>EIP-0388</t>
  </si>
  <si>
    <t>Gas Infrastructure Project 388</t>
  </si>
  <si>
    <t>EIP-0389</t>
  </si>
  <si>
    <t>Solar PV Project 389</t>
  </si>
  <si>
    <t>EIP-0390</t>
  </si>
  <si>
    <t>Hydrogen Project 390</t>
  </si>
  <si>
    <t>EIP-0391</t>
  </si>
  <si>
    <t>Offshore Wind Project 391</t>
  </si>
  <si>
    <t>EIP-0392</t>
  </si>
  <si>
    <t>Battery Storage Project 392</t>
  </si>
  <si>
    <t>EIP-0393</t>
  </si>
  <si>
    <t>CCUS Project 393</t>
  </si>
  <si>
    <t>EIP-0394</t>
  </si>
  <si>
    <t>CCUS Project 394</t>
  </si>
  <si>
    <t>EIP-0395</t>
  </si>
  <si>
    <t>CCUS Project 395</t>
  </si>
  <si>
    <t>EIP-0396</t>
  </si>
  <si>
    <t>Gas Infrastructure Project 396</t>
  </si>
  <si>
    <t>EIP-0397</t>
  </si>
  <si>
    <t>Offshore Wind Project 397</t>
  </si>
  <si>
    <t>EIP-0398</t>
  </si>
  <si>
    <t>Gas Infrastructure Project 398</t>
  </si>
  <si>
    <t>EIP-0399</t>
  </si>
  <si>
    <t>Heat Pumps Project 399</t>
  </si>
  <si>
    <t>EIP-0400</t>
  </si>
  <si>
    <t>Gas Infrastructure Project 400</t>
  </si>
  <si>
    <t>EIP-0401</t>
  </si>
  <si>
    <t>Hydrogen Project 401</t>
  </si>
  <si>
    <t>EIP-0402</t>
  </si>
  <si>
    <t>Gas Infrastructure Project 402</t>
  </si>
  <si>
    <t>EIP-0403</t>
  </si>
  <si>
    <t>CCUS Project 403</t>
  </si>
  <si>
    <t>EIP-0404</t>
  </si>
  <si>
    <t>Battery Storage Project 404</t>
  </si>
  <si>
    <t>EIP-0405</t>
  </si>
  <si>
    <t>Solar PV Project 405</t>
  </si>
  <si>
    <t>EIP-0406</t>
  </si>
  <si>
    <t>Heat Pumps Project 406</t>
  </si>
  <si>
    <t>EIP-0407</t>
  </si>
  <si>
    <t>Hydrogen Project 407</t>
  </si>
  <si>
    <t>EIP-0408</t>
  </si>
  <si>
    <t>Solar PV Project 408</t>
  </si>
  <si>
    <t>EIP-0409</t>
  </si>
  <si>
    <t>Offshore Wind Project 409</t>
  </si>
  <si>
    <t>EIP-0410</t>
  </si>
  <si>
    <t>Hydrogen Project 410</t>
  </si>
  <si>
    <t>EIP-0411</t>
  </si>
  <si>
    <t>Offshore Wind Project 411</t>
  </si>
  <si>
    <t>EIP-0412</t>
  </si>
  <si>
    <t>CCUS Project 412</t>
  </si>
  <si>
    <t>EIP-0413</t>
  </si>
  <si>
    <t>Gas Infrastructure Project 413</t>
  </si>
  <si>
    <t>EIP-0414</t>
  </si>
  <si>
    <t>CCUS Project 414</t>
  </si>
  <si>
    <t>EIP-0415</t>
  </si>
  <si>
    <t>CCUS Project 415</t>
  </si>
  <si>
    <t>EIP-0416</t>
  </si>
  <si>
    <t>Hydrogen Project 416</t>
  </si>
  <si>
    <t>EIP-0417</t>
  </si>
  <si>
    <t>Solar PV Project 417</t>
  </si>
  <si>
    <t>EIP-0418</t>
  </si>
  <si>
    <t>Battery Storage Project 418</t>
  </si>
  <si>
    <t>EIP-0419</t>
  </si>
  <si>
    <t>Battery Storage Project 419</t>
  </si>
  <si>
    <t>EIP-0420</t>
  </si>
  <si>
    <t>CCUS Project 420</t>
  </si>
  <si>
    <t>Energy Infrastructure Investment &amp; ESG Assessment — Synthetic Dataset</t>
  </si>
  <si>
    <t>Purpose</t>
  </si>
  <si>
    <t>Fictional portfolio dataset for demonstrating Excel/data-analysis, investment assessment and stakeholder communication skills.</t>
  </si>
  <si>
    <t>Records</t>
  </si>
  <si>
    <t>Asset types</t>
  </si>
  <si>
    <t>Offshore Wind, Solar PV, Gas Infrastructure, Heat Pumps, Battery Storage, CCUS, Hydrogen</t>
  </si>
  <si>
    <t>Important</t>
  </si>
  <si>
    <t>Analytical objective</t>
  </si>
  <si>
    <t>Compare investment opportunities across financial performance, carbon impact, project risk, technology readiness and policy support.</t>
  </si>
  <si>
    <t>Key field</t>
  </si>
  <si>
    <t>Project capacity in MW (asset-specific).</t>
  </si>
  <si>
    <t>Expected utilisation/load factor.</t>
  </si>
  <si>
    <t>Initial capital expenditure in £m.</t>
  </si>
  <si>
    <t>Illustrative annual revenue in £m.</t>
  </si>
  <si>
    <t>Illustrative annual operating expenditure in £m.</t>
  </si>
  <si>
    <t>Illustrative annual carbon benefit in ktCO2e.</t>
  </si>
  <si>
    <t>Synthetic planning/development risk.</t>
  </si>
  <si>
    <t>Synthetic grid connection risk.</t>
  </si>
  <si>
    <t>Synthetic supply-chain risk.</t>
  </si>
  <si>
    <t>Synthetic technology maturity category.</t>
  </si>
  <si>
    <t>Illustrative expected return measure for portfolio analysis.</t>
  </si>
  <si>
    <t>Illustrative project NPV in £m.</t>
  </si>
  <si>
    <t>Illustrative simple payback period.</t>
  </si>
  <si>
    <t>Synthetic 1–10 policy support score.</t>
  </si>
  <si>
    <t>Revenue Change</t>
  </si>
  <si>
    <t>Opex Change</t>
  </si>
  <si>
    <t>Capex Change</t>
  </si>
  <si>
    <t>Carbon Value Change</t>
  </si>
  <si>
    <t>Base</t>
  </si>
  <si>
    <t>Upside</t>
  </si>
  <si>
    <t>Downside</t>
  </si>
  <si>
    <t>Asset Type</t>
  </si>
  <si>
    <t>Number of Projects</t>
  </si>
  <si>
    <t>Average Capex (£m)</t>
  </si>
  <si>
    <t>Average ROI (%)</t>
  </si>
  <si>
    <t>Average NPV (£m)</t>
  </si>
  <si>
    <t>Average Carbon Savings (ktCO2e)</t>
  </si>
  <si>
    <t>High Planning Risk</t>
  </si>
  <si>
    <t>High Grid Risk</t>
  </si>
  <si>
    <t>High Supply Chain Risk</t>
  </si>
  <si>
    <t>% Technology Readiness (Commercial Projects)</t>
  </si>
  <si>
    <t>Overall Attractiveness Score</t>
  </si>
  <si>
    <t>Financial Score</t>
  </si>
  <si>
    <t>Carbon Score</t>
  </si>
  <si>
    <t>Risk Score</t>
  </si>
  <si>
    <t>Technology Score</t>
  </si>
  <si>
    <t>Helper Column (Average Carbon Savings (ktCO2e)</t>
  </si>
  <si>
    <t>Metric</t>
  </si>
  <si>
    <t>Selected Asset</t>
  </si>
  <si>
    <t>Combined Scenario Impact</t>
  </si>
  <si>
    <t>Scenario NPV (£m)</t>
  </si>
  <si>
    <t>Base NPV (£m)</t>
  </si>
  <si>
    <t>Financial Impact (£m)</t>
  </si>
  <si>
    <t>All projects, values and names are synthetic and are not confidential operational data.</t>
  </si>
  <si>
    <t>Risk Profile</t>
  </si>
  <si>
    <t>Risk-Return Score</t>
  </si>
  <si>
    <t>Offshore Wind, 1,481.39 kt CO₂e</t>
  </si>
  <si>
    <t>Solar PV, 138.43 kt CO₂e</t>
  </si>
  <si>
    <t>Gas Infrastructure, 215.50 kt CO₂e</t>
  </si>
  <si>
    <t>Heat Pumps, 72.58 kt CO₂e</t>
  </si>
  <si>
    <t>Battery Storage, 102.23 kt CO₂e</t>
  </si>
  <si>
    <t>CCUS, 16.09 kt CO₂e</t>
  </si>
  <si>
    <t>Hydrogen, 921.80 kt CO₂e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</si>
</sst>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44" fontId="0" fillId="0" borderId="0" xfId="0" applyNumberFormat="1"/>
    <xf numFmtId="10" fontId="0" fillId="0" borderId="0" xfId="1" applyNumberFormat="1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0" borderId="0" xfId="1" applyNumberFormat="1" applyFont="1"/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26">
    <dxf>
      <fill>
        <patternFill>
          <bgColor theme="2" tint="-0.49998474074526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2" formatCode="0.00"/>
    </dxf>
    <dxf>
      <numFmt numFmtId="2" formatCode="0.00"/>
    </dxf>
    <dxf>
      <alignment horizontal="right" vertical="bottom" textRotation="0" wrapText="0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34" formatCode="_-&quot;£&quot;* #,##0.00_-;\-&quot;£&quot;* #,##0.00_-;_-&quot;£&quot;* &quot;-&quot;??_-;_-@_-"/>
    </dxf>
    <dxf>
      <numFmt numFmtId="2" formatCode="0.00"/>
    </dxf>
    <dxf>
      <numFmt numFmtId="34" formatCode="_-&quot;£&quot;* #,##0.00_-;\-&quot;£&quot;* #,##0.00_-;_-&quot;£&quot;* &quot;-&quot;??_-;_-@_-"/>
    </dxf>
    <dxf>
      <numFmt numFmtId="13" formatCode="0%"/>
      <alignment horizontal="right" vertical="center" textRotation="0" wrapText="1" indent="0" justifyLastLine="0" shrinkToFit="0" readingOrder="0"/>
    </dxf>
    <dxf>
      <numFmt numFmtId="13" formatCode="0%"/>
      <alignment horizontal="right" vertical="center" textRotation="0" wrapText="1" indent="0" justifyLastLine="0" shrinkToFit="0" readingOrder="0"/>
    </dxf>
    <dxf>
      <numFmt numFmtId="13" formatCode="0%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0" i="0" u="none" strike="noStrike" baseline="0"/>
              <a:t>Overall AttractivenessScore by Asset Type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Analysis'!$H$2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Analysis'!$Q$1</c:f>
              <c:strCache>
                <c:ptCount val="1"/>
                <c:pt idx="0">
                  <c:v>Overall Attractiveness Score</c:v>
                </c:pt>
              </c:strCache>
            </c:strRef>
          </c:cat>
          <c:val>
            <c:numRef>
              <c:f>'Data Analysis'!$Q$2</c:f>
              <c:numCache>
                <c:formatCode>0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1-4E89-9635-72B1FF4FA95B}"/>
            </c:ext>
          </c:extLst>
        </c:ser>
        <c:ser>
          <c:idx val="1"/>
          <c:order val="1"/>
          <c:tx>
            <c:strRef>
              <c:f>'Data Analysis'!$H$3</c:f>
              <c:strCache>
                <c:ptCount val="1"/>
                <c:pt idx="0">
                  <c:v>Solar PV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Analysis'!$Q$1</c:f>
              <c:strCache>
                <c:ptCount val="1"/>
                <c:pt idx="0">
                  <c:v>Overall Attractiveness Score</c:v>
                </c:pt>
              </c:strCache>
            </c:strRef>
          </c:cat>
          <c:val>
            <c:numRef>
              <c:f>'Data Analysis'!$Q$3</c:f>
              <c:numCache>
                <c:formatCode>0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1-4E89-9635-72B1FF4FA95B}"/>
            </c:ext>
          </c:extLst>
        </c:ser>
        <c:ser>
          <c:idx val="2"/>
          <c:order val="2"/>
          <c:tx>
            <c:strRef>
              <c:f>'Data Analysis'!$H$4</c:f>
              <c:strCache>
                <c:ptCount val="1"/>
                <c:pt idx="0">
                  <c:v>Gas Infrastructure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Analysis'!$Q$1</c:f>
              <c:strCache>
                <c:ptCount val="1"/>
                <c:pt idx="0">
                  <c:v>Overall Attractiveness Score</c:v>
                </c:pt>
              </c:strCache>
            </c:strRef>
          </c:cat>
          <c:val>
            <c:numRef>
              <c:f>'Data Analysis'!$Q$4</c:f>
              <c:numCache>
                <c:formatCode>0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1-4E89-9635-72B1FF4FA95B}"/>
            </c:ext>
          </c:extLst>
        </c:ser>
        <c:ser>
          <c:idx val="3"/>
          <c:order val="3"/>
          <c:tx>
            <c:strRef>
              <c:f>'Data Analysis'!$H$5</c:f>
              <c:strCache>
                <c:ptCount val="1"/>
                <c:pt idx="0">
                  <c:v>Heat Pumps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'Data Analysis'!$Q$1</c:f>
              <c:strCache>
                <c:ptCount val="1"/>
                <c:pt idx="0">
                  <c:v>Overall Attractiveness Score</c:v>
                </c:pt>
              </c:strCache>
            </c:strRef>
          </c:cat>
          <c:val>
            <c:numRef>
              <c:f>'Data Analysis'!$Q$5</c:f>
              <c:numCache>
                <c:formatCode>0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61-4E89-9635-72B1FF4FA95B}"/>
            </c:ext>
          </c:extLst>
        </c:ser>
        <c:ser>
          <c:idx val="4"/>
          <c:order val="4"/>
          <c:tx>
            <c:strRef>
              <c:f>'Data Analysis'!$H$6</c:f>
              <c:strCache>
                <c:ptCount val="1"/>
                <c:pt idx="0">
                  <c:v>Battery Storage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'Data Analysis'!$Q$1</c:f>
              <c:strCache>
                <c:ptCount val="1"/>
                <c:pt idx="0">
                  <c:v>Overall Attractiveness Score</c:v>
                </c:pt>
              </c:strCache>
            </c:strRef>
          </c:cat>
          <c:val>
            <c:numRef>
              <c:f>'Data Analysis'!$Q$6</c:f>
              <c:numCache>
                <c:formatCode>0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61-4E89-9635-72B1FF4FA95B}"/>
            </c:ext>
          </c:extLst>
        </c:ser>
        <c:ser>
          <c:idx val="5"/>
          <c:order val="5"/>
          <c:tx>
            <c:strRef>
              <c:f>'Data Analysis'!$H$7</c:f>
              <c:strCache>
                <c:ptCount val="1"/>
                <c:pt idx="0">
                  <c:v>CCUS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'Data Analysis'!$Q$1</c:f>
              <c:strCache>
                <c:ptCount val="1"/>
                <c:pt idx="0">
                  <c:v>Overall Attractiveness Score</c:v>
                </c:pt>
              </c:strCache>
            </c:strRef>
          </c:cat>
          <c:val>
            <c:numRef>
              <c:f>'Data Analysis'!$Q$7</c:f>
              <c:numCache>
                <c:formatCode>0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61-4E89-9635-72B1FF4FA95B}"/>
            </c:ext>
          </c:extLst>
        </c:ser>
        <c:ser>
          <c:idx val="6"/>
          <c:order val="6"/>
          <c:tx>
            <c:strRef>
              <c:f>'Data Analysis'!$H$8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Analysis'!$Q$1</c:f>
              <c:strCache>
                <c:ptCount val="1"/>
                <c:pt idx="0">
                  <c:v>Overall Attractiveness Score</c:v>
                </c:pt>
              </c:strCache>
            </c:strRef>
          </c:cat>
          <c:val>
            <c:numRef>
              <c:f>'Data Analysis'!$Q$8</c:f>
              <c:numCache>
                <c:formatCode>0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61-4E89-9635-72B1FF4FA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0021679"/>
        <c:axId val="920664831"/>
      </c:barChart>
      <c:catAx>
        <c:axId val="77002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664831"/>
        <c:crosses val="autoZero"/>
        <c:auto val="1"/>
        <c:lblAlgn val="ctr"/>
        <c:lblOffset val="100"/>
        <c:noMultiLvlLbl val="0"/>
      </c:catAx>
      <c:valAx>
        <c:axId val="92066483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02167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0" i="0" u="none" strike="noStrike" baseline="0"/>
              <a:t>NPV vs Carbon Savings by Asset Type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Analysis'!$F$1</c:f>
              <c:strCache>
                <c:ptCount val="1"/>
                <c:pt idx="0">
                  <c:v>Average Carbon Savings (ktCO2e)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4481509035142176E-2"/>
                  <c:y val="5.4054794006831448E-2"/>
                </c:manualLayout>
              </c:layout>
              <c:tx>
                <c:rich>
                  <a:bodyPr/>
                  <a:lstStyle/>
                  <a:p>
                    <a:fld id="{23256476-2B89-4E0F-88CE-49ABD33CDB5A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D30-4BE8-9A6F-00B81E1FF66D}"/>
                </c:ext>
              </c:extLst>
            </c:dLbl>
            <c:dLbl>
              <c:idx val="1"/>
              <c:layout>
                <c:manualLayout>
                  <c:x val="7.7579512688261507E-2"/>
                  <c:y val="-6.1359495899646614E-2"/>
                </c:manualLayout>
              </c:layout>
              <c:tx>
                <c:rich>
                  <a:bodyPr/>
                  <a:lstStyle/>
                  <a:p>
                    <a:fld id="{1EB589B9-E761-410E-8F54-861CF4210E1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D30-4BE8-9A6F-00B81E1FF66D}"/>
                </c:ext>
              </c:extLst>
            </c:dLbl>
            <c:dLbl>
              <c:idx val="2"/>
              <c:layout>
                <c:manualLayout>
                  <c:x val="5.3788462130528077E-2"/>
                  <c:y val="-8.1812661199528569E-2"/>
                </c:manualLayout>
              </c:layout>
              <c:tx>
                <c:rich>
                  <a:bodyPr/>
                  <a:lstStyle/>
                  <a:p>
                    <a:fld id="{26FCBEC9-C5CB-4F29-B2B6-B8A06D9F8444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D30-4BE8-9A6F-00B81E1FF66D}"/>
                </c:ext>
              </c:extLst>
            </c:dLbl>
            <c:dLbl>
              <c:idx val="3"/>
              <c:layout>
                <c:manualLayout>
                  <c:x val="-0.30214800210760456"/>
                  <c:y val="-0.12860981215422868"/>
                </c:manualLayout>
              </c:layout>
              <c:tx>
                <c:rich>
                  <a:bodyPr/>
                  <a:lstStyle/>
                  <a:p>
                    <a:fld id="{E897E9EC-0EB0-4369-AD20-1B2BBEA6439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AD30-4BE8-9A6F-00B81E1FF66D}"/>
                </c:ext>
              </c:extLst>
            </c:dLbl>
            <c:dLbl>
              <c:idx val="4"/>
              <c:layout>
                <c:manualLayout>
                  <c:x val="0.14895266436146237"/>
                  <c:y val="1.8992224921319158E-2"/>
                </c:manualLayout>
              </c:layout>
              <c:tx>
                <c:rich>
                  <a:bodyPr/>
                  <a:lstStyle/>
                  <a:p>
                    <a:fld id="{B18A54D2-7AB1-4479-A370-432C80CCF41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D30-4BE8-9A6F-00B81E1FF66D}"/>
                </c:ext>
              </c:extLst>
            </c:dLbl>
            <c:dLbl>
              <c:idx val="5"/>
              <c:layout>
                <c:manualLayout>
                  <c:x val="-2.0687870050203106E-2"/>
                  <c:y val="-8.4734541956654807E-2"/>
                </c:manualLayout>
              </c:layout>
              <c:tx>
                <c:rich>
                  <a:bodyPr/>
                  <a:lstStyle/>
                  <a:p>
                    <a:fld id="{AF5E8E9E-04B0-4629-9E4F-A733A5F0514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D30-4BE8-9A6F-00B81E1FF66D}"/>
                </c:ext>
              </c:extLst>
            </c:dLbl>
            <c:dLbl>
              <c:idx val="6"/>
              <c:layout>
                <c:manualLayout>
                  <c:x val="-1.6550296040162487E-2"/>
                  <c:y val="-6.8664197792461565E-2"/>
                </c:manualLayout>
              </c:layout>
              <c:tx>
                <c:rich>
                  <a:bodyPr/>
                  <a:lstStyle/>
                  <a:p>
                    <a:fld id="{3472135D-8945-4296-8B40-9A8D00AAEA10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D30-4BE8-9A6F-00B81E1FF66D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Analysis'!$E$2:$E$8</c:f>
              <c:numCache>
                <c:formatCode>_("£"* #,##0.00_);_("£"* \(#,##0.00\);_("£"* "-"??_);_(@_)</c:formatCode>
                <c:ptCount val="7"/>
                <c:pt idx="0">
                  <c:v>445.60694444444431</c:v>
                </c:pt>
                <c:pt idx="1">
                  <c:v>274.84912280701752</c:v>
                </c:pt>
                <c:pt idx="2">
                  <c:v>115.68769230769227</c:v>
                </c:pt>
                <c:pt idx="3">
                  <c:v>-29.650980392156853</c:v>
                </c:pt>
                <c:pt idx="4">
                  <c:v>20.21166666666668</c:v>
                </c:pt>
                <c:pt idx="5">
                  <c:v>-1657.2316666666666</c:v>
                </c:pt>
                <c:pt idx="6">
                  <c:v>-784.66000000000008</c:v>
                </c:pt>
              </c:numCache>
            </c:numRef>
          </c:xVal>
          <c:yVal>
            <c:numRef>
              <c:f>'Data Analysis'!$F$2:$F$8</c:f>
              <c:numCache>
                <c:formatCode>0.00</c:formatCode>
                <c:ptCount val="7"/>
                <c:pt idx="0">
                  <c:v>1481.3873611111112</c:v>
                </c:pt>
                <c:pt idx="1">
                  <c:v>138.43421052631572</c:v>
                </c:pt>
                <c:pt idx="2">
                  <c:v>215.50307692307689</c:v>
                </c:pt>
                <c:pt idx="3">
                  <c:v>72.581568627450977</c:v>
                </c:pt>
                <c:pt idx="4">
                  <c:v>102.22983333333335</c:v>
                </c:pt>
                <c:pt idx="5">
                  <c:v>16.086999999999996</c:v>
                </c:pt>
                <c:pt idx="6">
                  <c:v>921.79909090909086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'Data Analysis'!$R$2:$R$8</c15:f>
                <c15:dlblRangeCache>
                  <c:ptCount val="7"/>
                  <c:pt idx="0">
                    <c:v>Offshore Wind, 1,481.39 kt CO₂e</c:v>
                  </c:pt>
                  <c:pt idx="1">
                    <c:v>Solar PV, 138.43 kt CO₂e</c:v>
                  </c:pt>
                  <c:pt idx="2">
                    <c:v>Gas Infrastructure, 215.50 kt CO₂e</c:v>
                  </c:pt>
                  <c:pt idx="3">
                    <c:v>Heat Pumps, 72.58 kt CO₂e</c:v>
                  </c:pt>
                  <c:pt idx="4">
                    <c:v>Battery Storage, 102.23 kt CO₂e</c:v>
                  </c:pt>
                  <c:pt idx="5">
                    <c:v>CCUS, 16.09 kt CO₂e</c:v>
                  </c:pt>
                  <c:pt idx="6">
                    <c:v>Hydrogen, 921.80 kt CO₂e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D30-4BE8-9A6F-00B81E1FF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034943"/>
        <c:axId val="804424639"/>
      </c:scatterChart>
      <c:valAx>
        <c:axId val="951034943"/>
        <c:scaling>
          <c:orientation val="minMax"/>
        </c:scaling>
        <c:delete val="0"/>
        <c:axPos val="b"/>
        <c:numFmt formatCode="_(&quot;£&quot;* #,##0.00_);_(&quot;£&quot;* \(#,##0.00\);_(&quot;£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424639"/>
        <c:crosses val="autoZero"/>
        <c:crossBetween val="midCat"/>
      </c:valAx>
      <c:valAx>
        <c:axId val="80442463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034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0" i="0" u="none" strike="noStrike" baseline="0"/>
              <a:t>Risk Profile by Asset Type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Analysis'!$I$1</c:f>
              <c:strCache>
                <c:ptCount val="1"/>
                <c:pt idx="0">
                  <c:v>High Planning Risk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Analysis'!$H$2:$H$8</c:f>
              <c:strCache>
                <c:ptCount val="7"/>
                <c:pt idx="0">
                  <c:v>Offshore Wind</c:v>
                </c:pt>
                <c:pt idx="1">
                  <c:v>Solar PV</c:v>
                </c:pt>
                <c:pt idx="2">
                  <c:v>Gas Infrastructure</c:v>
                </c:pt>
                <c:pt idx="3">
                  <c:v>Heat Pumps</c:v>
                </c:pt>
                <c:pt idx="4">
                  <c:v>Battery Storage</c:v>
                </c:pt>
                <c:pt idx="5">
                  <c:v>CCUS</c:v>
                </c:pt>
                <c:pt idx="6">
                  <c:v>Hydrogen</c:v>
                </c:pt>
              </c:strCache>
            </c:strRef>
          </c:cat>
          <c:val>
            <c:numRef>
              <c:f>'Data Analysis'!$I$2:$I$8</c:f>
              <c:numCache>
                <c:formatCode>0.00%</c:formatCode>
                <c:ptCount val="7"/>
                <c:pt idx="0">
                  <c:v>0.18055555555555555</c:v>
                </c:pt>
                <c:pt idx="1">
                  <c:v>0.21052631578947367</c:v>
                </c:pt>
                <c:pt idx="2">
                  <c:v>0.13846153846153847</c:v>
                </c:pt>
                <c:pt idx="3">
                  <c:v>9.8039215686274508E-2</c:v>
                </c:pt>
                <c:pt idx="4">
                  <c:v>0.2</c:v>
                </c:pt>
                <c:pt idx="5">
                  <c:v>0.2</c:v>
                </c:pt>
                <c:pt idx="6">
                  <c:v>0.12727272727272726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F-4411-9CDF-D5111747D06C}"/>
            </c:ext>
          </c:extLst>
        </c:ser>
        <c:ser>
          <c:idx val="1"/>
          <c:order val="1"/>
          <c:tx>
            <c:strRef>
              <c:f>'Data Analysis'!$J$1</c:f>
              <c:strCache>
                <c:ptCount val="1"/>
                <c:pt idx="0">
                  <c:v>High Grid Risk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Analysis'!$H$2:$H$8</c:f>
              <c:strCache>
                <c:ptCount val="7"/>
                <c:pt idx="0">
                  <c:v>Offshore Wind</c:v>
                </c:pt>
                <c:pt idx="1">
                  <c:v>Solar PV</c:v>
                </c:pt>
                <c:pt idx="2">
                  <c:v>Gas Infrastructure</c:v>
                </c:pt>
                <c:pt idx="3">
                  <c:v>Heat Pumps</c:v>
                </c:pt>
                <c:pt idx="4">
                  <c:v>Battery Storage</c:v>
                </c:pt>
                <c:pt idx="5">
                  <c:v>CCUS</c:v>
                </c:pt>
                <c:pt idx="6">
                  <c:v>Hydrogen</c:v>
                </c:pt>
              </c:strCache>
            </c:strRef>
          </c:cat>
          <c:val>
            <c:numRef>
              <c:f>'Data Analysis'!$J$2:$J$8</c:f>
              <c:numCache>
                <c:formatCode>0.00%</c:formatCode>
                <c:ptCount val="7"/>
                <c:pt idx="0">
                  <c:v>0.19444444444444445</c:v>
                </c:pt>
                <c:pt idx="1">
                  <c:v>0.10526315789473684</c:v>
                </c:pt>
                <c:pt idx="2">
                  <c:v>0.16923076923076924</c:v>
                </c:pt>
                <c:pt idx="3">
                  <c:v>0.17647058823529413</c:v>
                </c:pt>
                <c:pt idx="4">
                  <c:v>0.13333333333333333</c:v>
                </c:pt>
                <c:pt idx="5">
                  <c:v>0.16666666666666666</c:v>
                </c:pt>
                <c:pt idx="6">
                  <c:v>0.21818181818181817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AF-4411-9CDF-D5111747D06C}"/>
            </c:ext>
          </c:extLst>
        </c:ser>
        <c:ser>
          <c:idx val="2"/>
          <c:order val="2"/>
          <c:tx>
            <c:strRef>
              <c:f>'Data Analysis'!$K$1</c:f>
              <c:strCache>
                <c:ptCount val="1"/>
                <c:pt idx="0">
                  <c:v>High Supply Chain Risk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Analysis'!$H$2:$H$8</c:f>
              <c:strCache>
                <c:ptCount val="7"/>
                <c:pt idx="0">
                  <c:v>Offshore Wind</c:v>
                </c:pt>
                <c:pt idx="1">
                  <c:v>Solar PV</c:v>
                </c:pt>
                <c:pt idx="2">
                  <c:v>Gas Infrastructure</c:v>
                </c:pt>
                <c:pt idx="3">
                  <c:v>Heat Pumps</c:v>
                </c:pt>
                <c:pt idx="4">
                  <c:v>Battery Storage</c:v>
                </c:pt>
                <c:pt idx="5">
                  <c:v>CCUS</c:v>
                </c:pt>
                <c:pt idx="6">
                  <c:v>Hydrogen</c:v>
                </c:pt>
              </c:strCache>
            </c:strRef>
          </c:cat>
          <c:val>
            <c:numRef>
              <c:f>'Data Analysis'!$K$2:$K$8</c:f>
              <c:numCache>
                <c:formatCode>0.00%</c:formatCode>
                <c:ptCount val="7"/>
                <c:pt idx="0">
                  <c:v>0.20833333333333334</c:v>
                </c:pt>
                <c:pt idx="1">
                  <c:v>0.14035087719298245</c:v>
                </c:pt>
                <c:pt idx="2">
                  <c:v>0.18461538461538463</c:v>
                </c:pt>
                <c:pt idx="3">
                  <c:v>0.11764705882352941</c:v>
                </c:pt>
                <c:pt idx="4">
                  <c:v>0.21666666666666667</c:v>
                </c:pt>
                <c:pt idx="5">
                  <c:v>0.16666666666666666</c:v>
                </c:pt>
                <c:pt idx="6">
                  <c:v>0.25454545454545452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AF-4411-9CDF-D5111747D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990208"/>
        <c:axId val="1819848832"/>
      </c:barChart>
      <c:catAx>
        <c:axId val="22599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848832"/>
        <c:crosses val="autoZero"/>
        <c:auto val="1"/>
        <c:lblAlgn val="ctr"/>
        <c:lblOffset val="100"/>
        <c:noMultiLvlLbl val="0"/>
      </c:catAx>
      <c:valAx>
        <c:axId val="1819848832"/>
        <c:scaling>
          <c:orientation val="minMax"/>
          <c:max val="0.25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99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0" i="0" u="none" strike="noStrike" baseline="0"/>
              <a:t>Risk–Return Score by Asset Type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Analysis'!$Y$1</c:f>
              <c:strCache>
                <c:ptCount val="1"/>
                <c:pt idx="0">
                  <c:v>Risk-Return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1.0992816825144572E-3"/>
                  <c:y val="3.3854842105660049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C2F-45E1-8884-3F6DE74F49FD}"/>
                </c:ext>
              </c:extLst>
            </c:dLbl>
            <c:dLbl>
              <c:idx val="6"/>
              <c:layout>
                <c:manualLayout>
                  <c:x val="-8.6305333093509712E-2"/>
                  <c:y val="3.2763390572359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C2F-45E1-8884-3F6DE74F49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Analysis'!$V$2:$V$8</c:f>
              <c:strCache>
                <c:ptCount val="7"/>
                <c:pt idx="0">
                  <c:v>Offshore Wind</c:v>
                </c:pt>
                <c:pt idx="1">
                  <c:v>Battery Storage</c:v>
                </c:pt>
                <c:pt idx="2">
                  <c:v>Solar PV</c:v>
                </c:pt>
                <c:pt idx="3">
                  <c:v>Gas Infrastructure</c:v>
                </c:pt>
                <c:pt idx="4">
                  <c:v>Hydrogen</c:v>
                </c:pt>
                <c:pt idx="5">
                  <c:v>Heat Pumps</c:v>
                </c:pt>
                <c:pt idx="6">
                  <c:v>CCUS</c:v>
                </c:pt>
              </c:strCache>
            </c:strRef>
          </c:cat>
          <c:val>
            <c:numRef>
              <c:f>'Data Analysis'!$Y$2:$Y$8</c:f>
              <c:numCache>
                <c:formatCode>0.00</c:formatCode>
                <c:ptCount val="7"/>
                <c:pt idx="0">
                  <c:v>3.3826388888888896</c:v>
                </c:pt>
                <c:pt idx="1">
                  <c:v>3.2844444444444441</c:v>
                </c:pt>
                <c:pt idx="2">
                  <c:v>3.1853801169590663</c:v>
                </c:pt>
                <c:pt idx="3">
                  <c:v>1.7435897435897434</c:v>
                </c:pt>
                <c:pt idx="4">
                  <c:v>1.6400000000000001</c:v>
                </c:pt>
                <c:pt idx="5">
                  <c:v>1.6318627450980385</c:v>
                </c:pt>
                <c:pt idx="6">
                  <c:v>-9.9999999999999922E-2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F-45E1-8884-3F6DE74F4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6032896"/>
        <c:axId val="239905504"/>
      </c:barChart>
      <c:catAx>
        <c:axId val="2260328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905504"/>
        <c:crosses val="autoZero"/>
        <c:auto val="1"/>
        <c:lblAlgn val="ctr"/>
        <c:lblOffset val="100"/>
        <c:noMultiLvlLbl val="0"/>
      </c:catAx>
      <c:valAx>
        <c:axId val="239905504"/>
        <c:scaling>
          <c:orientation val="minMax"/>
        </c:scaling>
        <c:delete val="0"/>
        <c:axPos val="t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03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95247</xdr:colOff>
      <xdr:row>11</xdr:row>
      <xdr:rowOff>12095</xdr:rowOff>
    </xdr:from>
    <xdr:to>
      <xdr:col>8</xdr:col>
      <xdr:colOff>241138</xdr:colOff>
      <xdr:row>59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F3658-3B00-1E8B-6DE2-53ACB9B29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978582</xdr:colOff>
      <xdr:row>10</xdr:row>
      <xdr:rowOff>168836</xdr:rowOff>
    </xdr:from>
    <xdr:to>
      <xdr:col>14</xdr:col>
      <xdr:colOff>1061012</xdr:colOff>
      <xdr:row>59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277E0D-7E15-1CB5-707B-2EE004F10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2335310</xdr:colOff>
      <xdr:row>10</xdr:row>
      <xdr:rowOff>168837</xdr:rowOff>
    </xdr:from>
    <xdr:to>
      <xdr:col>23</xdr:col>
      <xdr:colOff>12056</xdr:colOff>
      <xdr:row>58</xdr:row>
      <xdr:rowOff>168797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F01962-E670-C315-63D4-78D6163E2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806611</xdr:colOff>
      <xdr:row>10</xdr:row>
      <xdr:rowOff>168835</xdr:rowOff>
    </xdr:from>
    <xdr:to>
      <xdr:col>46</xdr:col>
      <xdr:colOff>286372</xdr:colOff>
      <xdr:row>64</xdr:row>
      <xdr:rowOff>161863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7429B6-4559-67E3-2723-E13444193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stmentData" displayName="InvestmentData" ref="A1:V421">
  <autoFilter ref="A1:V421" xr:uid="{00000000-0009-0000-0100-000001000000}"/>
  <tableColumns count="22">
    <tableColumn id="1" xr3:uid="{00000000-0010-0000-0000-000001000000}" name="Project_ID"/>
    <tableColumn id="2" xr3:uid="{00000000-0010-0000-0000-000002000000}" name="Project_Name"/>
    <tableColumn id="3" xr3:uid="{00000000-0010-0000-0000-000003000000}" name="Asset_Type"/>
    <tableColumn id="4" xr3:uid="{00000000-0010-0000-0000-000004000000}" name="Region"/>
    <tableColumn id="5" xr3:uid="{00000000-0010-0000-0000-000005000000}" name="Commissioning_Year"/>
    <tableColumn id="6" xr3:uid="{00000000-0010-0000-0000-000006000000}" name="Capacity_MW"/>
    <tableColumn id="7" xr3:uid="{00000000-0010-0000-0000-000007000000}" name="Load_Factor_pct"/>
    <tableColumn id="8" xr3:uid="{00000000-0010-0000-0000-000008000000}" name="Capex_GBPm"/>
    <tableColumn id="9" xr3:uid="{00000000-0010-0000-0000-000009000000}" name="Annual_Revenue_GBPm"/>
    <tableColumn id="10" xr3:uid="{00000000-0010-0000-0000-00000A000000}" name="Annual_Opex_GBPm"/>
    <tableColumn id="11" xr3:uid="{00000000-0010-0000-0000-00000B000000}" name="Annual_Carbon_Savings_ktCO2e"/>
    <tableColumn id="12" xr3:uid="{00000000-0010-0000-0000-00000C000000}" name="Project_Life_Years"/>
    <tableColumn id="13" xr3:uid="{00000000-0010-0000-0000-00000D000000}" name="Planning_Risk"/>
    <tableColumn id="14" xr3:uid="{00000000-0010-0000-0000-00000E000000}" name="Grid_Risk"/>
    <tableColumn id="15" xr3:uid="{00000000-0010-0000-0000-00000F000000}" name="Supply_Chain_Risk"/>
    <tableColumn id="16" xr3:uid="{00000000-0010-0000-0000-000010000000}" name="Technology_Readiness"/>
    <tableColumn id="17" xr3:uid="{00000000-0010-0000-0000-000011000000}" name="Development_Status"/>
    <tableColumn id="18" xr3:uid="{00000000-0010-0000-0000-000012000000}" name="Expected_ROI_pct"/>
    <tableColumn id="19" xr3:uid="{00000000-0010-0000-0000-000013000000}" name="NPV_GBPm"/>
    <tableColumn id="20" xr3:uid="{00000000-0010-0000-0000-000014000000}" name="Payback_Years"/>
    <tableColumn id="21" xr3:uid="{00000000-0010-0000-0000-000015000000}" name="Jobs_Supported"/>
    <tableColumn id="22" xr3:uid="{00000000-0010-0000-0000-000016000000}" name="Policy_Support_Scor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E392A9-1168-4564-8722-5B814FFE06B6}" name="Table4" displayName="Table4" ref="A1:D9" totalsRowShown="0" dataDxfId="25" headerRowCellStyle="Normal">
  <autoFilter ref="A1:D9" xr:uid="{06E392A9-1168-4564-8722-5B814FFE06B6}"/>
  <tableColumns count="4">
    <tableColumn id="1" xr3:uid="{E8A1FFF6-96F5-4F1E-8316-7F78935202FE}" name="Metric" dataDxfId="24"/>
    <tableColumn id="2" xr3:uid="{09936160-F29E-4FA3-9245-3786ED5FE3E6}" name="Base" dataDxfId="23"/>
    <tableColumn id="3" xr3:uid="{5AE43C81-FDEA-4D95-BBA5-02A24EF97DDF}" name="Upside" dataDxfId="22"/>
    <tableColumn id="4" xr3:uid="{EDA4312B-0C20-47C3-A646-76C7198E2CEC}" name="Downside" dataDxfId="2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561DC9-2C9D-4334-9D7C-C6A5B7C2EF97}" name="Table2" displayName="Table2" ref="A1:F8" totalsRowShown="0">
  <autoFilter ref="A1:F8" xr:uid="{1A561DC9-2C9D-4334-9D7C-C6A5B7C2EF97}"/>
  <tableColumns count="6">
    <tableColumn id="1" xr3:uid="{BED41671-0CC9-42C6-B700-475CD16A90FB}" name="Asset Type"/>
    <tableColumn id="2" xr3:uid="{F16D5A3C-78D5-4295-B722-9B98A13F9EC1}" name="Number of Projects">
      <calculatedColumnFormula>COUNTIF(Project_Data!C:C,'Data Analysis'!A2)</calculatedColumnFormula>
    </tableColumn>
    <tableColumn id="3" xr3:uid="{9252CD95-90DA-48AD-B752-091DA4906998}" name="Average Capex (£m)" dataDxfId="20">
      <calculatedColumnFormula>AVERAGEIF(Project_Data!C:C,'Data Analysis'!A2,Project_Data!H:H)</calculatedColumnFormula>
    </tableColumn>
    <tableColumn id="4" xr3:uid="{B6413579-1F49-461C-8AF4-34E7BFD74E5F}" name="Average ROI (%)" dataDxfId="19">
      <calculatedColumnFormula>AVERAGEIF(Project_Data!C:C,'Data Analysis'!A2,Project_Data!R:R)</calculatedColumnFormula>
    </tableColumn>
    <tableColumn id="5" xr3:uid="{BD94DBD2-873E-4C71-8723-1F8002057A02}" name="Average NPV (£m)" dataDxfId="18">
      <calculatedColumnFormula>AVERAGEIF(Project_Data!C:C,'Data Analysis'!A2,Project_Data!S:S)</calculatedColumnFormula>
    </tableColumn>
    <tableColumn id="6" xr3:uid="{56B3EA36-353E-4040-A875-0C5611991633}" name="Average Carbon Savings (ktCO2e)" dataDxfId="17">
      <calculatedColumnFormula>AVERAGEIF(Project_Data!C:C,'Data Analysis'!A2,Project_Data!K:K)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3547B2-2C60-4DF2-B832-D31CC7A0719B}" name="Table3" displayName="Table3" ref="H1:R8" totalsRowShown="0" headerRowDxfId="16" dataDxfId="15" dataCellStyle="Percent">
  <autoFilter ref="H1:R8" xr:uid="{3B3547B2-2C60-4DF2-B832-D31CC7A0719B}"/>
  <tableColumns count="11">
    <tableColumn id="1" xr3:uid="{A03761C2-697F-4E64-B55E-1507B4E30648}" name="Asset Type"/>
    <tableColumn id="2" xr3:uid="{A11C6887-2B38-488D-BF6C-86DFE41E2F58}" name="High Planning Risk" dataDxfId="14" dataCellStyle="Percent">
      <calculatedColumnFormula>COUNTIFS(Project_Data!C:C,'Data Analysis'!H2,Project_Data!M:M,"High")/COUNTIF(Project_Data!C:C,'Data Analysis'!H2)</calculatedColumnFormula>
    </tableColumn>
    <tableColumn id="3" xr3:uid="{C733E94F-F980-4CDE-9865-D6F69F7BE6B6}" name="High Grid Risk" dataDxfId="13" dataCellStyle="Percent">
      <calculatedColumnFormula>COUNTIFS(Project_Data!C:C,'Data Analysis'!H2,Project_Data!N:N,"High")/COUNTIF(Project_Data!C:C,'Data Analysis'!H2)</calculatedColumnFormula>
    </tableColumn>
    <tableColumn id="4" xr3:uid="{A12D324D-CCFB-4C66-BE69-42D2A033B989}" name="High Supply Chain Risk" dataDxfId="12" dataCellStyle="Percent">
      <calculatedColumnFormula>COUNTIFS(Project_Data!C:C,'Data Analysis'!H2,Project_Data!O:O,"High")/COUNTIF(Project_Data!C:C,'Data Analysis'!H2)</calculatedColumnFormula>
    </tableColumn>
    <tableColumn id="5" xr3:uid="{EEFC8138-DA4E-43EB-905D-AD804D8DC008}" name="% Technology Readiness (Commercial Projects)" dataDxfId="11" dataCellStyle="Percent">
      <calculatedColumnFormula>COUNTIFS(Project_Data!C:C,'Data Analysis'!A2,Project_Data!P:P,"Commercial")/COUNTIF(Project_Data!C:C,'Data Analysis'!A2)</calculatedColumnFormula>
    </tableColumn>
    <tableColumn id="6" xr3:uid="{04A9524F-701D-4CDE-8709-4E98430C3D17}" name="Financial Score" dataDxfId="10" dataCellStyle="Percent">
      <calculatedColumnFormula>ROUND(1+4*(7-AVERAGE(_xlfn.RANK.EQ(D2,$D$2:$D$8,0),_xlfn.RANK.EQ(E2,$E$2:$E$8,0)))/6,0)</calculatedColumnFormula>
    </tableColumn>
    <tableColumn id="7" xr3:uid="{3D75FC0C-8734-46CC-8705-E0EE1623EA9E}" name="Carbon Score" dataDxfId="9" dataCellStyle="Percent">
      <calculatedColumnFormula>ROUND(1+4*(7-_xlfn.RANK.EQ(F2,$F$2:$F$8,0))/6,0)</calculatedColumnFormula>
    </tableColumn>
    <tableColumn id="8" xr3:uid="{7C64EB15-775E-4947-838A-04F8835B0B0E}" name="Risk Score" dataDxfId="8" dataCellStyle="Percent">
      <calculatedColumnFormula>ROUND(1+4*(7-AVERAGE(_xlfn.RANK.EQ(I2,$I$2:$I$8,1),_xlfn.RANK.EQ(J2,$J$2:$J$8,1),_xlfn.RANK.EQ(K2,$K$2:$K$8,1)))/6,0)</calculatedColumnFormula>
    </tableColumn>
    <tableColumn id="9" xr3:uid="{67A163F6-A149-4552-847A-1671C96A2A7F}" name="Technology Score" dataDxfId="7" dataCellStyle="Percent">
      <calculatedColumnFormula>ROUND(1+4*(7-_xlfn.RANK.EQ(L2,$L$2:$L$8,0))/6,0)</calculatedColumnFormula>
    </tableColumn>
    <tableColumn id="10" xr3:uid="{E470EBDD-62D5-4D71-893A-9E1567B62264}" name="Overall Attractiveness Score" dataDxfId="6">
      <calculatedColumnFormula>ROUND(AVERAGE(M2:P2),0)</calculatedColumnFormula>
    </tableColumn>
    <tableColumn id="11" xr3:uid="{E3E6BDF1-B2E2-4FE9-9135-B72374A0AE25}" name="Helper Column (Average Carbon Savings (ktCO2e)" dataDxfId="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0E81E1-60AA-4AC8-B320-1A1916DE52B9}" name="Table5" displayName="Table5" ref="V1:Y8" totalsRowShown="0">
  <autoFilter ref="V1:Y8" xr:uid="{E10E81E1-60AA-4AC8-B320-1A1916DE52B9}"/>
  <sortState xmlns:xlrd2="http://schemas.microsoft.com/office/spreadsheetml/2017/richdata2" ref="V2:Y8">
    <sortCondition descending="1" ref="Y2:Y8"/>
  </sortState>
  <tableColumns count="4">
    <tableColumn id="1" xr3:uid="{7BAE44CF-C1A9-4B32-A241-4DA16E525CEC}" name="Asset Type"/>
    <tableColumn id="2" xr3:uid="{7E15D194-0EAE-40CB-9897-A54223351A68}" name="Risk Profile"/>
    <tableColumn id="3" xr3:uid="{AF6BDAE4-B7AC-4E3E-AFEB-894ED22DE590}" name="Average ROI (%)" dataDxfId="4"/>
    <tableColumn id="4" xr3:uid="{6F66F60F-4ED3-44A8-9267-12FA84AC292B}" name="Risk-Return Score" dataDxfId="3">
      <calculatedColumnFormula>Table5[[#This Row],[Average ROI (%)]]/Table5[[#This Row],[Risk Profile]]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1"/>
  <sheetViews>
    <sheetView topLeftCell="D1" workbookViewId="0">
      <pane ySplit="1" topLeftCell="A367" activePane="bottomLeft" state="frozen"/>
      <selection pane="bottomLeft" activeCell="G404" sqref="G404"/>
    </sheetView>
  </sheetViews>
  <sheetFormatPr defaultRowHeight="14.5" x14ac:dyDescent="0.35"/>
  <cols>
    <col min="1" max="1" width="14" customWidth="1"/>
    <col min="2" max="2" width="28" customWidth="1"/>
    <col min="3" max="3" width="20" customWidth="1"/>
    <col min="4" max="5" width="18" customWidth="1"/>
    <col min="6" max="6" width="14" customWidth="1"/>
    <col min="7" max="7" width="17" customWidth="1"/>
    <col min="8" max="8" width="16" customWidth="1"/>
    <col min="9" max="9" width="22" customWidth="1"/>
    <col min="10" max="10" width="20" customWidth="1"/>
    <col min="11" max="11" width="27" customWidth="1"/>
    <col min="12" max="12" width="18" customWidth="1"/>
    <col min="13" max="13" width="15" customWidth="1"/>
    <col min="14" max="14" width="12" customWidth="1"/>
    <col min="15" max="15" width="18" customWidth="1"/>
    <col min="16" max="16" width="20" customWidth="1"/>
    <col min="17" max="17" width="22" customWidth="1"/>
    <col min="18" max="18" width="16" customWidth="1"/>
    <col min="19" max="19" width="14" customWidth="1"/>
    <col min="20" max="21" width="16" customWidth="1"/>
    <col min="22" max="22" width="20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>
        <v>2030</v>
      </c>
      <c r="F2">
        <v>1292.9000000000001</v>
      </c>
      <c r="G2">
        <v>51.8</v>
      </c>
      <c r="H2">
        <v>2818.7</v>
      </c>
      <c r="I2">
        <v>156.9</v>
      </c>
      <c r="J2">
        <v>134.1</v>
      </c>
      <c r="K2">
        <v>3720.87</v>
      </c>
      <c r="L2">
        <v>29</v>
      </c>
      <c r="M2" t="s">
        <v>26</v>
      </c>
      <c r="N2" t="s">
        <v>26</v>
      </c>
      <c r="O2" t="s">
        <v>27</v>
      </c>
      <c r="P2" t="s">
        <v>28</v>
      </c>
      <c r="Q2" t="s">
        <v>29</v>
      </c>
      <c r="R2">
        <v>0.2</v>
      </c>
      <c r="S2">
        <v>-2411</v>
      </c>
      <c r="T2">
        <v>123.9</v>
      </c>
      <c r="U2">
        <v>1245</v>
      </c>
      <c r="V2">
        <v>2</v>
      </c>
    </row>
    <row r="3" spans="1:22" x14ac:dyDescent="0.35">
      <c r="A3" t="s">
        <v>30</v>
      </c>
      <c r="B3" t="s">
        <v>31</v>
      </c>
      <c r="C3" t="s">
        <v>32</v>
      </c>
      <c r="D3" t="s">
        <v>33</v>
      </c>
      <c r="E3">
        <v>2028</v>
      </c>
      <c r="F3">
        <v>5.5</v>
      </c>
      <c r="G3">
        <v>68</v>
      </c>
      <c r="H3">
        <v>2740.5</v>
      </c>
      <c r="I3">
        <v>436.1</v>
      </c>
      <c r="J3">
        <v>193.3</v>
      </c>
      <c r="K3">
        <v>24.02</v>
      </c>
      <c r="L3">
        <v>25</v>
      </c>
      <c r="M3" t="s">
        <v>26</v>
      </c>
      <c r="N3" t="s">
        <v>34</v>
      </c>
      <c r="O3" t="s">
        <v>34</v>
      </c>
      <c r="P3" t="s">
        <v>35</v>
      </c>
      <c r="Q3" t="s">
        <v>36</v>
      </c>
      <c r="R3">
        <v>8.6999999999999993</v>
      </c>
      <c r="S3">
        <v>1232.5999999999999</v>
      </c>
      <c r="T3">
        <v>11.3</v>
      </c>
      <c r="U3">
        <v>10</v>
      </c>
      <c r="V3">
        <v>3</v>
      </c>
    </row>
    <row r="4" spans="1:22" x14ac:dyDescent="0.35">
      <c r="A4" t="s">
        <v>37</v>
      </c>
      <c r="B4" t="s">
        <v>38</v>
      </c>
      <c r="C4" t="s">
        <v>39</v>
      </c>
      <c r="D4" t="s">
        <v>40</v>
      </c>
      <c r="E4">
        <v>2027</v>
      </c>
      <c r="F4">
        <v>423.9</v>
      </c>
      <c r="G4">
        <v>54.7</v>
      </c>
      <c r="H4">
        <v>554.20000000000005</v>
      </c>
      <c r="I4">
        <v>2</v>
      </c>
      <c r="J4">
        <v>18.8</v>
      </c>
      <c r="K4">
        <v>224.97</v>
      </c>
      <c r="L4">
        <v>24</v>
      </c>
      <c r="M4" t="s">
        <v>27</v>
      </c>
      <c r="N4" t="s">
        <v>34</v>
      </c>
      <c r="O4" t="s">
        <v>26</v>
      </c>
      <c r="P4" t="s">
        <v>28</v>
      </c>
      <c r="Q4" t="s">
        <v>29</v>
      </c>
      <c r="R4">
        <v>-4.4000000000000004</v>
      </c>
      <c r="S4">
        <v>-846.8</v>
      </c>
      <c r="T4">
        <v>41.7</v>
      </c>
      <c r="U4">
        <v>536</v>
      </c>
      <c r="V4">
        <v>5</v>
      </c>
    </row>
    <row r="5" spans="1:22" x14ac:dyDescent="0.35">
      <c r="A5" t="s">
        <v>41</v>
      </c>
      <c r="B5" t="s">
        <v>42</v>
      </c>
      <c r="C5" t="s">
        <v>43</v>
      </c>
      <c r="D5" t="s">
        <v>25</v>
      </c>
      <c r="E5">
        <v>2028</v>
      </c>
      <c r="F5">
        <v>366.6</v>
      </c>
      <c r="G5">
        <v>24.2</v>
      </c>
      <c r="H5">
        <v>530.1</v>
      </c>
      <c r="I5">
        <v>126.6</v>
      </c>
      <c r="J5">
        <v>25.3</v>
      </c>
      <c r="K5">
        <v>176.69</v>
      </c>
      <c r="L5">
        <v>13</v>
      </c>
      <c r="M5" t="s">
        <v>26</v>
      </c>
      <c r="N5" t="s">
        <v>26</v>
      </c>
      <c r="O5" t="s">
        <v>27</v>
      </c>
      <c r="P5" t="s">
        <v>35</v>
      </c>
      <c r="Q5" t="s">
        <v>29</v>
      </c>
      <c r="R5">
        <v>18.2</v>
      </c>
      <c r="S5">
        <v>363.3</v>
      </c>
      <c r="T5">
        <v>5.2</v>
      </c>
      <c r="U5">
        <v>350</v>
      </c>
      <c r="V5">
        <v>5</v>
      </c>
    </row>
    <row r="6" spans="1:22" x14ac:dyDescent="0.35">
      <c r="A6" t="s">
        <v>44</v>
      </c>
      <c r="B6" t="s">
        <v>45</v>
      </c>
      <c r="C6" t="s">
        <v>39</v>
      </c>
      <c r="D6" t="s">
        <v>46</v>
      </c>
      <c r="E6">
        <v>2031</v>
      </c>
      <c r="F6">
        <v>53.5</v>
      </c>
      <c r="G6">
        <v>55.1</v>
      </c>
      <c r="H6">
        <v>876.6</v>
      </c>
      <c r="I6">
        <v>71.099999999999994</v>
      </c>
      <c r="J6">
        <v>30.7</v>
      </c>
      <c r="K6">
        <v>40.159999999999997</v>
      </c>
      <c r="L6">
        <v>38</v>
      </c>
      <c r="M6" t="s">
        <v>34</v>
      </c>
      <c r="N6" t="s">
        <v>27</v>
      </c>
      <c r="O6" t="s">
        <v>27</v>
      </c>
      <c r="P6" t="s">
        <v>28</v>
      </c>
      <c r="Q6" t="s">
        <v>47</v>
      </c>
      <c r="R6">
        <v>5.0999999999999996</v>
      </c>
      <c r="S6">
        <v>230.1</v>
      </c>
      <c r="T6">
        <v>21.7</v>
      </c>
      <c r="U6">
        <v>57</v>
      </c>
      <c r="V6">
        <v>5</v>
      </c>
    </row>
    <row r="7" spans="1:22" x14ac:dyDescent="0.35">
      <c r="A7" t="s">
        <v>48</v>
      </c>
      <c r="B7" t="s">
        <v>49</v>
      </c>
      <c r="C7" t="s">
        <v>43</v>
      </c>
      <c r="D7" t="s">
        <v>40</v>
      </c>
      <c r="E7">
        <v>2035</v>
      </c>
      <c r="F7">
        <v>499.2</v>
      </c>
      <c r="G7">
        <v>23.8</v>
      </c>
      <c r="H7">
        <v>785</v>
      </c>
      <c r="I7">
        <v>27.8</v>
      </c>
      <c r="J7">
        <v>25.5</v>
      </c>
      <c r="K7">
        <v>107.83</v>
      </c>
      <c r="L7">
        <v>15</v>
      </c>
      <c r="M7" t="s">
        <v>26</v>
      </c>
      <c r="N7" t="s">
        <v>27</v>
      </c>
      <c r="O7" t="s">
        <v>26</v>
      </c>
      <c r="P7" t="s">
        <v>28</v>
      </c>
      <c r="Q7" t="s">
        <v>29</v>
      </c>
      <c r="R7">
        <v>-0.4</v>
      </c>
      <c r="S7">
        <v>-761</v>
      </c>
      <c r="T7">
        <v>336.7</v>
      </c>
      <c r="U7">
        <v>342</v>
      </c>
      <c r="V7">
        <v>1</v>
      </c>
    </row>
    <row r="8" spans="1:22" x14ac:dyDescent="0.35">
      <c r="A8" t="s">
        <v>50</v>
      </c>
      <c r="B8" t="s">
        <v>51</v>
      </c>
      <c r="C8" t="s">
        <v>39</v>
      </c>
      <c r="D8" t="s">
        <v>33</v>
      </c>
      <c r="E8">
        <v>2035</v>
      </c>
      <c r="F8">
        <v>394.6</v>
      </c>
      <c r="G8">
        <v>72</v>
      </c>
      <c r="H8">
        <v>316.8</v>
      </c>
      <c r="I8">
        <v>53.9</v>
      </c>
      <c r="J8">
        <v>13.2</v>
      </c>
      <c r="K8">
        <v>176.63</v>
      </c>
      <c r="L8">
        <v>37</v>
      </c>
      <c r="M8" t="s">
        <v>27</v>
      </c>
      <c r="N8" t="s">
        <v>27</v>
      </c>
      <c r="O8" t="s">
        <v>34</v>
      </c>
      <c r="P8" t="s">
        <v>52</v>
      </c>
      <c r="Q8" t="s">
        <v>29</v>
      </c>
      <c r="R8">
        <v>11.7</v>
      </c>
      <c r="S8">
        <v>710.3</v>
      </c>
      <c r="T8">
        <v>7.8</v>
      </c>
      <c r="U8">
        <v>251</v>
      </c>
      <c r="V8">
        <v>9</v>
      </c>
    </row>
    <row r="9" spans="1:22" x14ac:dyDescent="0.35">
      <c r="A9" t="s">
        <v>53</v>
      </c>
      <c r="B9" t="s">
        <v>54</v>
      </c>
      <c r="C9" t="s">
        <v>39</v>
      </c>
      <c r="D9" t="s">
        <v>25</v>
      </c>
      <c r="E9">
        <v>2033</v>
      </c>
      <c r="F9">
        <v>362.3</v>
      </c>
      <c r="G9">
        <v>36.299999999999997</v>
      </c>
      <c r="H9">
        <v>1272.5</v>
      </c>
      <c r="I9">
        <v>75.8</v>
      </c>
      <c r="J9">
        <v>41</v>
      </c>
      <c r="K9">
        <v>149.82</v>
      </c>
      <c r="L9">
        <v>39</v>
      </c>
      <c r="M9" t="s">
        <v>34</v>
      </c>
      <c r="N9" t="s">
        <v>27</v>
      </c>
      <c r="O9" t="s">
        <v>34</v>
      </c>
      <c r="P9" t="s">
        <v>52</v>
      </c>
      <c r="Q9" t="s">
        <v>29</v>
      </c>
      <c r="R9">
        <v>3.8</v>
      </c>
      <c r="S9">
        <v>-355.2</v>
      </c>
      <c r="T9">
        <v>36.6</v>
      </c>
      <c r="U9">
        <v>383</v>
      </c>
      <c r="V9">
        <v>5</v>
      </c>
    </row>
    <row r="10" spans="1:22" x14ac:dyDescent="0.35">
      <c r="A10" t="s">
        <v>55</v>
      </c>
      <c r="B10" t="s">
        <v>56</v>
      </c>
      <c r="C10" t="s">
        <v>39</v>
      </c>
      <c r="D10" t="s">
        <v>57</v>
      </c>
      <c r="E10">
        <v>2032</v>
      </c>
      <c r="F10">
        <v>473.9</v>
      </c>
      <c r="G10">
        <v>55.5</v>
      </c>
      <c r="H10">
        <v>607.20000000000005</v>
      </c>
      <c r="I10">
        <v>96.4</v>
      </c>
      <c r="J10">
        <v>19.2</v>
      </c>
      <c r="K10">
        <v>318.26</v>
      </c>
      <c r="L10">
        <v>24</v>
      </c>
      <c r="M10" t="s">
        <v>34</v>
      </c>
      <c r="N10" t="s">
        <v>27</v>
      </c>
      <c r="O10" t="s">
        <v>27</v>
      </c>
      <c r="P10" t="s">
        <v>35</v>
      </c>
      <c r="Q10" t="s">
        <v>29</v>
      </c>
      <c r="R10">
        <v>12.8</v>
      </c>
      <c r="S10">
        <v>783</v>
      </c>
      <c r="T10">
        <v>7.9</v>
      </c>
      <c r="U10">
        <v>721</v>
      </c>
      <c r="V10">
        <v>3</v>
      </c>
    </row>
    <row r="11" spans="1:22" x14ac:dyDescent="0.35">
      <c r="A11" t="s">
        <v>58</v>
      </c>
      <c r="B11" t="s">
        <v>59</v>
      </c>
      <c r="C11" t="s">
        <v>43</v>
      </c>
      <c r="D11" t="s">
        <v>25</v>
      </c>
      <c r="E11">
        <v>2034</v>
      </c>
      <c r="F11">
        <v>146.30000000000001</v>
      </c>
      <c r="G11">
        <v>32.799999999999997</v>
      </c>
      <c r="H11">
        <v>508.2</v>
      </c>
      <c r="I11">
        <v>108.2</v>
      </c>
      <c r="J11">
        <v>15.4</v>
      </c>
      <c r="K11">
        <v>84.93</v>
      </c>
      <c r="L11">
        <v>13</v>
      </c>
      <c r="M11" t="s">
        <v>27</v>
      </c>
      <c r="N11" t="s">
        <v>26</v>
      </c>
      <c r="O11" t="s">
        <v>27</v>
      </c>
      <c r="P11" t="s">
        <v>52</v>
      </c>
      <c r="Q11" t="s">
        <v>36</v>
      </c>
      <c r="R11">
        <v>18.8</v>
      </c>
      <c r="S11">
        <v>406.4</v>
      </c>
      <c r="T11">
        <v>5.5</v>
      </c>
      <c r="U11">
        <v>89</v>
      </c>
      <c r="V11">
        <v>10</v>
      </c>
    </row>
    <row r="12" spans="1:22" x14ac:dyDescent="0.35">
      <c r="A12" t="s">
        <v>60</v>
      </c>
      <c r="B12" t="s">
        <v>61</v>
      </c>
      <c r="C12" t="s">
        <v>62</v>
      </c>
      <c r="D12" t="s">
        <v>33</v>
      </c>
      <c r="E12">
        <v>2032</v>
      </c>
      <c r="F12">
        <v>412.5</v>
      </c>
      <c r="G12">
        <v>17.2</v>
      </c>
      <c r="H12">
        <v>621.79999999999995</v>
      </c>
      <c r="I12">
        <v>127.1</v>
      </c>
      <c r="J12">
        <v>12.4</v>
      </c>
      <c r="K12">
        <v>243.57</v>
      </c>
      <c r="L12">
        <v>25</v>
      </c>
      <c r="M12" t="s">
        <v>26</v>
      </c>
      <c r="N12" t="s">
        <v>26</v>
      </c>
      <c r="O12" t="s">
        <v>26</v>
      </c>
      <c r="P12" t="s">
        <v>52</v>
      </c>
      <c r="Q12" t="s">
        <v>29</v>
      </c>
      <c r="R12">
        <v>18.100000000000001</v>
      </c>
      <c r="S12">
        <v>1324.6</v>
      </c>
      <c r="T12">
        <v>5.4</v>
      </c>
      <c r="U12">
        <v>334</v>
      </c>
      <c r="V12">
        <v>8</v>
      </c>
    </row>
    <row r="13" spans="1:22" x14ac:dyDescent="0.35">
      <c r="A13" t="s">
        <v>63</v>
      </c>
      <c r="B13" t="s">
        <v>64</v>
      </c>
      <c r="C13" t="s">
        <v>32</v>
      </c>
      <c r="D13" t="s">
        <v>33</v>
      </c>
      <c r="E13">
        <v>2034</v>
      </c>
      <c r="F13">
        <v>2</v>
      </c>
      <c r="G13">
        <v>73.900000000000006</v>
      </c>
      <c r="H13">
        <v>791.5</v>
      </c>
      <c r="I13">
        <v>134</v>
      </c>
      <c r="J13">
        <v>49.3</v>
      </c>
      <c r="K13">
        <v>9.4700000000000006</v>
      </c>
      <c r="L13">
        <v>28</v>
      </c>
      <c r="M13" t="s">
        <v>26</v>
      </c>
      <c r="N13" t="s">
        <v>34</v>
      </c>
      <c r="O13" t="s">
        <v>26</v>
      </c>
      <c r="P13" t="s">
        <v>28</v>
      </c>
      <c r="Q13" t="s">
        <v>65</v>
      </c>
      <c r="R13">
        <v>11.1</v>
      </c>
      <c r="S13">
        <v>749.3</v>
      </c>
      <c r="T13">
        <v>9.4</v>
      </c>
      <c r="U13">
        <v>10</v>
      </c>
      <c r="V13">
        <v>1</v>
      </c>
    </row>
    <row r="14" spans="1:22" x14ac:dyDescent="0.35">
      <c r="A14" t="s">
        <v>66</v>
      </c>
      <c r="B14" t="s">
        <v>67</v>
      </c>
      <c r="C14" t="s">
        <v>43</v>
      </c>
      <c r="D14" t="s">
        <v>46</v>
      </c>
      <c r="E14">
        <v>2031</v>
      </c>
      <c r="F14">
        <v>139</v>
      </c>
      <c r="G14">
        <v>28.8</v>
      </c>
      <c r="H14">
        <v>719.6</v>
      </c>
      <c r="I14">
        <v>2</v>
      </c>
      <c r="J14">
        <v>18.100000000000001</v>
      </c>
      <c r="K14">
        <v>100.55</v>
      </c>
      <c r="L14">
        <v>12</v>
      </c>
      <c r="M14" t="s">
        <v>34</v>
      </c>
      <c r="N14" t="s">
        <v>27</v>
      </c>
      <c r="O14" t="s">
        <v>27</v>
      </c>
      <c r="P14" t="s">
        <v>52</v>
      </c>
      <c r="Q14" t="s">
        <v>47</v>
      </c>
      <c r="R14">
        <v>-4.3</v>
      </c>
      <c r="S14">
        <v>-985.5</v>
      </c>
      <c r="T14">
        <v>51.4</v>
      </c>
      <c r="U14">
        <v>113</v>
      </c>
      <c r="V14">
        <v>4</v>
      </c>
    </row>
    <row r="15" spans="1:22" x14ac:dyDescent="0.35">
      <c r="A15" t="s">
        <v>68</v>
      </c>
      <c r="B15" t="s">
        <v>69</v>
      </c>
      <c r="C15" t="s">
        <v>24</v>
      </c>
      <c r="D15" t="s">
        <v>33</v>
      </c>
      <c r="E15">
        <v>2029</v>
      </c>
      <c r="F15">
        <v>1193.5</v>
      </c>
      <c r="G15">
        <v>49.9</v>
      </c>
      <c r="H15">
        <v>1620.4</v>
      </c>
      <c r="I15">
        <v>111.7</v>
      </c>
      <c r="J15">
        <v>77</v>
      </c>
      <c r="K15">
        <v>3262.19</v>
      </c>
      <c r="L15">
        <v>28</v>
      </c>
      <c r="M15" t="s">
        <v>26</v>
      </c>
      <c r="N15" t="s">
        <v>26</v>
      </c>
      <c r="O15" t="s">
        <v>27</v>
      </c>
      <c r="P15" t="s">
        <v>35</v>
      </c>
      <c r="Q15" t="s">
        <v>65</v>
      </c>
      <c r="R15">
        <v>1.6</v>
      </c>
      <c r="S15">
        <v>-1045.4000000000001</v>
      </c>
      <c r="T15">
        <v>46.7</v>
      </c>
      <c r="U15">
        <v>1295</v>
      </c>
      <c r="V15">
        <v>10</v>
      </c>
    </row>
    <row r="16" spans="1:22" x14ac:dyDescent="0.35">
      <c r="A16" t="s">
        <v>70</v>
      </c>
      <c r="B16" t="s">
        <v>71</v>
      </c>
      <c r="C16" t="s">
        <v>39</v>
      </c>
      <c r="D16" t="s">
        <v>40</v>
      </c>
      <c r="E16">
        <v>2030</v>
      </c>
      <c r="F16">
        <v>831.2</v>
      </c>
      <c r="G16">
        <v>35.299999999999997</v>
      </c>
      <c r="H16">
        <v>902.8</v>
      </c>
      <c r="I16">
        <v>132.30000000000001</v>
      </c>
      <c r="J16">
        <v>44</v>
      </c>
      <c r="K16">
        <v>214.99</v>
      </c>
      <c r="L16">
        <v>29</v>
      </c>
      <c r="M16" t="s">
        <v>34</v>
      </c>
      <c r="N16" t="s">
        <v>27</v>
      </c>
      <c r="O16" t="s">
        <v>26</v>
      </c>
      <c r="P16" t="s">
        <v>28</v>
      </c>
      <c r="Q16" t="s">
        <v>36</v>
      </c>
      <c r="R16">
        <v>10.7</v>
      </c>
      <c r="S16">
        <v>712.4</v>
      </c>
      <c r="T16">
        <v>10.199999999999999</v>
      </c>
      <c r="U16">
        <v>1133</v>
      </c>
      <c r="V16">
        <v>2</v>
      </c>
    </row>
    <row r="17" spans="1:22" x14ac:dyDescent="0.35">
      <c r="A17" t="s">
        <v>72</v>
      </c>
      <c r="B17" t="s">
        <v>73</v>
      </c>
      <c r="C17" t="s">
        <v>62</v>
      </c>
      <c r="D17" t="s">
        <v>33</v>
      </c>
      <c r="E17">
        <v>2034</v>
      </c>
      <c r="F17">
        <v>378.8</v>
      </c>
      <c r="G17">
        <v>14.3</v>
      </c>
      <c r="H17">
        <v>179.9</v>
      </c>
      <c r="I17">
        <v>8.3000000000000007</v>
      </c>
      <c r="J17">
        <v>5</v>
      </c>
      <c r="K17">
        <v>119.01</v>
      </c>
      <c r="L17">
        <v>27</v>
      </c>
      <c r="M17" t="s">
        <v>27</v>
      </c>
      <c r="N17" t="s">
        <v>26</v>
      </c>
      <c r="O17" t="s">
        <v>27</v>
      </c>
      <c r="P17" t="s">
        <v>35</v>
      </c>
      <c r="Q17" t="s">
        <v>29</v>
      </c>
      <c r="R17">
        <v>1.1000000000000001</v>
      </c>
      <c r="S17">
        <v>-128.19999999999999</v>
      </c>
      <c r="T17">
        <v>54.8</v>
      </c>
      <c r="U17">
        <v>551</v>
      </c>
      <c r="V17">
        <v>1</v>
      </c>
    </row>
    <row r="18" spans="1:22" x14ac:dyDescent="0.35">
      <c r="A18" t="s">
        <v>74</v>
      </c>
      <c r="B18" t="s">
        <v>75</v>
      </c>
      <c r="C18" t="s">
        <v>62</v>
      </c>
      <c r="D18" t="s">
        <v>40</v>
      </c>
      <c r="E18">
        <v>2034</v>
      </c>
      <c r="F18">
        <v>366.7</v>
      </c>
      <c r="G18">
        <v>17.2</v>
      </c>
      <c r="H18">
        <v>418.7</v>
      </c>
      <c r="I18">
        <v>57.9</v>
      </c>
      <c r="J18">
        <v>9.1999999999999993</v>
      </c>
      <c r="K18">
        <v>234.51</v>
      </c>
      <c r="L18">
        <v>26</v>
      </c>
      <c r="M18" t="s">
        <v>27</v>
      </c>
      <c r="N18" t="s">
        <v>26</v>
      </c>
      <c r="O18" t="s">
        <v>34</v>
      </c>
      <c r="P18" t="s">
        <v>28</v>
      </c>
      <c r="Q18" t="s">
        <v>65</v>
      </c>
      <c r="R18">
        <v>12.8</v>
      </c>
      <c r="S18">
        <v>419.9</v>
      </c>
      <c r="T18">
        <v>8.6</v>
      </c>
      <c r="U18">
        <v>194</v>
      </c>
      <c r="V18">
        <v>10</v>
      </c>
    </row>
    <row r="19" spans="1:22" x14ac:dyDescent="0.35">
      <c r="A19" t="s">
        <v>76</v>
      </c>
      <c r="B19" t="s">
        <v>77</v>
      </c>
      <c r="C19" t="s">
        <v>24</v>
      </c>
      <c r="D19" t="s">
        <v>78</v>
      </c>
      <c r="E19">
        <v>2031</v>
      </c>
      <c r="F19">
        <v>1227.5</v>
      </c>
      <c r="G19">
        <v>52.2</v>
      </c>
      <c r="H19">
        <v>2294</v>
      </c>
      <c r="I19">
        <v>349.5</v>
      </c>
      <c r="J19">
        <v>92.3</v>
      </c>
      <c r="K19">
        <v>2889.45</v>
      </c>
      <c r="L19">
        <v>25</v>
      </c>
      <c r="M19" t="s">
        <v>34</v>
      </c>
      <c r="N19" t="s">
        <v>26</v>
      </c>
      <c r="O19" t="s">
        <v>27</v>
      </c>
      <c r="P19" t="s">
        <v>35</v>
      </c>
      <c r="Q19" t="s">
        <v>36</v>
      </c>
      <c r="R19">
        <v>11.8</v>
      </c>
      <c r="S19">
        <v>2210.5</v>
      </c>
      <c r="T19">
        <v>8.9</v>
      </c>
      <c r="U19">
        <v>615</v>
      </c>
      <c r="V19">
        <v>10</v>
      </c>
    </row>
    <row r="20" spans="1:22" x14ac:dyDescent="0.35">
      <c r="A20" t="s">
        <v>79</v>
      </c>
      <c r="B20" t="s">
        <v>80</v>
      </c>
      <c r="C20" t="s">
        <v>43</v>
      </c>
      <c r="D20" t="s">
        <v>46</v>
      </c>
      <c r="E20">
        <v>2030</v>
      </c>
      <c r="F20">
        <v>382.3</v>
      </c>
      <c r="G20">
        <v>19.5</v>
      </c>
      <c r="H20">
        <v>294.60000000000002</v>
      </c>
      <c r="I20">
        <v>41.3</v>
      </c>
      <c r="J20">
        <v>6.9</v>
      </c>
      <c r="K20">
        <v>52.67</v>
      </c>
      <c r="L20">
        <v>16</v>
      </c>
      <c r="M20" t="s">
        <v>26</v>
      </c>
      <c r="N20" t="s">
        <v>26</v>
      </c>
      <c r="O20" t="s">
        <v>34</v>
      </c>
      <c r="P20" t="s">
        <v>35</v>
      </c>
      <c r="Q20" t="s">
        <v>47</v>
      </c>
      <c r="R20">
        <v>11.6</v>
      </c>
      <c r="S20">
        <v>118.1</v>
      </c>
      <c r="T20">
        <v>8.6</v>
      </c>
      <c r="U20">
        <v>542</v>
      </c>
      <c r="V20">
        <v>2</v>
      </c>
    </row>
    <row r="21" spans="1:22" x14ac:dyDescent="0.35">
      <c r="A21" t="s">
        <v>81</v>
      </c>
      <c r="B21" t="s">
        <v>82</v>
      </c>
      <c r="C21" t="s">
        <v>43</v>
      </c>
      <c r="D21" t="s">
        <v>40</v>
      </c>
      <c r="E21">
        <v>2032</v>
      </c>
      <c r="F21">
        <v>488.2</v>
      </c>
      <c r="G21">
        <v>22.1</v>
      </c>
      <c r="H21">
        <v>780.6</v>
      </c>
      <c r="I21">
        <v>153.5</v>
      </c>
      <c r="J21">
        <v>37</v>
      </c>
      <c r="K21">
        <v>214.68</v>
      </c>
      <c r="L21">
        <v>16</v>
      </c>
      <c r="M21" t="s">
        <v>27</v>
      </c>
      <c r="N21" t="s">
        <v>26</v>
      </c>
      <c r="O21" t="s">
        <v>26</v>
      </c>
      <c r="P21" t="s">
        <v>52</v>
      </c>
      <c r="Q21" t="s">
        <v>65</v>
      </c>
      <c r="R21">
        <v>14.4</v>
      </c>
      <c r="S21">
        <v>308.7</v>
      </c>
      <c r="T21">
        <v>6.7</v>
      </c>
      <c r="U21">
        <v>487</v>
      </c>
      <c r="V21">
        <v>9</v>
      </c>
    </row>
    <row r="22" spans="1:22" x14ac:dyDescent="0.35">
      <c r="A22" t="s">
        <v>83</v>
      </c>
      <c r="B22" t="s">
        <v>84</v>
      </c>
      <c r="C22" t="s">
        <v>24</v>
      </c>
      <c r="D22" t="s">
        <v>46</v>
      </c>
      <c r="E22">
        <v>2033</v>
      </c>
      <c r="F22">
        <v>890.8</v>
      </c>
      <c r="G22">
        <v>46.7</v>
      </c>
      <c r="H22">
        <v>1289</v>
      </c>
      <c r="I22">
        <v>88.1</v>
      </c>
      <c r="J22">
        <v>35.5</v>
      </c>
      <c r="K22">
        <v>1497.28</v>
      </c>
      <c r="L22">
        <v>30</v>
      </c>
      <c r="M22" t="s">
        <v>34</v>
      </c>
      <c r="N22" t="s">
        <v>26</v>
      </c>
      <c r="O22" t="s">
        <v>26</v>
      </c>
      <c r="P22" t="s">
        <v>35</v>
      </c>
      <c r="Q22" t="s">
        <v>47</v>
      </c>
      <c r="R22">
        <v>3.2</v>
      </c>
      <c r="S22">
        <v>-313.2</v>
      </c>
      <c r="T22">
        <v>24.5</v>
      </c>
      <c r="U22">
        <v>772</v>
      </c>
      <c r="V22">
        <v>1</v>
      </c>
    </row>
    <row r="23" spans="1:22" x14ac:dyDescent="0.35">
      <c r="A23" t="s">
        <v>85</v>
      </c>
      <c r="B23" t="s">
        <v>86</v>
      </c>
      <c r="C23" t="s">
        <v>43</v>
      </c>
      <c r="D23" t="s">
        <v>46</v>
      </c>
      <c r="E23">
        <v>2027</v>
      </c>
      <c r="F23">
        <v>361.8</v>
      </c>
      <c r="G23">
        <v>24.2</v>
      </c>
      <c r="H23">
        <v>172.9</v>
      </c>
      <c r="I23">
        <v>22.2</v>
      </c>
      <c r="J23">
        <v>5.0999999999999996</v>
      </c>
      <c r="K23">
        <v>116.15</v>
      </c>
      <c r="L23">
        <v>15</v>
      </c>
      <c r="M23" t="s">
        <v>26</v>
      </c>
      <c r="N23" t="s">
        <v>26</v>
      </c>
      <c r="O23" t="s">
        <v>26</v>
      </c>
      <c r="P23" t="s">
        <v>52</v>
      </c>
      <c r="Q23" t="s">
        <v>29</v>
      </c>
      <c r="R23">
        <v>10.1</v>
      </c>
      <c r="S23">
        <v>-24.1</v>
      </c>
      <c r="T23">
        <v>10.1</v>
      </c>
      <c r="U23">
        <v>303</v>
      </c>
      <c r="V23">
        <v>4</v>
      </c>
    </row>
    <row r="24" spans="1:22" x14ac:dyDescent="0.35">
      <c r="A24" t="s">
        <v>87</v>
      </c>
      <c r="B24" t="s">
        <v>88</v>
      </c>
      <c r="C24" t="s">
        <v>43</v>
      </c>
      <c r="D24" t="s">
        <v>46</v>
      </c>
      <c r="E24">
        <v>2031</v>
      </c>
      <c r="F24">
        <v>429.1</v>
      </c>
      <c r="G24">
        <v>12.3</v>
      </c>
      <c r="H24">
        <v>841.2</v>
      </c>
      <c r="I24">
        <v>110.2</v>
      </c>
      <c r="J24">
        <v>36.700000000000003</v>
      </c>
      <c r="K24">
        <v>68.11</v>
      </c>
      <c r="L24">
        <v>14</v>
      </c>
      <c r="M24" t="s">
        <v>27</v>
      </c>
      <c r="N24" t="s">
        <v>27</v>
      </c>
      <c r="O24" t="s">
        <v>26</v>
      </c>
      <c r="P24" t="s">
        <v>35</v>
      </c>
      <c r="Q24" t="s">
        <v>47</v>
      </c>
      <c r="R24">
        <v>9.9</v>
      </c>
      <c r="S24">
        <v>-41.4</v>
      </c>
      <c r="T24">
        <v>11.4</v>
      </c>
      <c r="U24">
        <v>299</v>
      </c>
      <c r="V24">
        <v>7</v>
      </c>
    </row>
    <row r="25" spans="1:22" x14ac:dyDescent="0.35">
      <c r="A25" t="s">
        <v>89</v>
      </c>
      <c r="B25" t="s">
        <v>90</v>
      </c>
      <c r="C25" t="s">
        <v>43</v>
      </c>
      <c r="D25" t="s">
        <v>25</v>
      </c>
      <c r="E25">
        <v>2035</v>
      </c>
      <c r="F25">
        <v>430.7</v>
      </c>
      <c r="G25">
        <v>13.6</v>
      </c>
      <c r="H25">
        <v>511.8</v>
      </c>
      <c r="I25">
        <v>63.2</v>
      </c>
      <c r="J25">
        <v>11.5</v>
      </c>
      <c r="K25">
        <v>132.94</v>
      </c>
      <c r="L25">
        <v>15</v>
      </c>
      <c r="M25" t="s">
        <v>34</v>
      </c>
      <c r="N25" t="s">
        <v>34</v>
      </c>
      <c r="O25" t="s">
        <v>26</v>
      </c>
      <c r="P25" t="s">
        <v>35</v>
      </c>
      <c r="Q25" t="s">
        <v>47</v>
      </c>
      <c r="R25">
        <v>10.7</v>
      </c>
      <c r="S25">
        <v>-38.6</v>
      </c>
      <c r="T25">
        <v>9.9</v>
      </c>
      <c r="U25">
        <v>291</v>
      </c>
      <c r="V25">
        <v>8</v>
      </c>
    </row>
    <row r="26" spans="1:22" x14ac:dyDescent="0.35">
      <c r="A26" t="s">
        <v>91</v>
      </c>
      <c r="B26" t="s">
        <v>92</v>
      </c>
      <c r="C26" t="s">
        <v>32</v>
      </c>
      <c r="D26" t="s">
        <v>40</v>
      </c>
      <c r="E26">
        <v>2027</v>
      </c>
      <c r="F26">
        <v>7</v>
      </c>
      <c r="G26">
        <v>64.099999999999994</v>
      </c>
      <c r="H26">
        <v>2406.6999999999998</v>
      </c>
      <c r="I26">
        <v>77.400000000000006</v>
      </c>
      <c r="J26">
        <v>84.4</v>
      </c>
      <c r="K26">
        <v>24.35</v>
      </c>
      <c r="L26">
        <v>28</v>
      </c>
      <c r="M26" t="s">
        <v>27</v>
      </c>
      <c r="N26" t="s">
        <v>26</v>
      </c>
      <c r="O26" t="s">
        <v>26</v>
      </c>
      <c r="P26" t="s">
        <v>28</v>
      </c>
      <c r="Q26" t="s">
        <v>65</v>
      </c>
      <c r="R26">
        <v>-0.3</v>
      </c>
      <c r="S26">
        <v>-2557.6</v>
      </c>
      <c r="T26">
        <v>56.3</v>
      </c>
      <c r="U26">
        <v>10</v>
      </c>
      <c r="V26">
        <v>3</v>
      </c>
    </row>
    <row r="27" spans="1:22" x14ac:dyDescent="0.35">
      <c r="A27" t="s">
        <v>93</v>
      </c>
      <c r="B27" t="s">
        <v>94</v>
      </c>
      <c r="C27" t="s">
        <v>39</v>
      </c>
      <c r="D27" t="s">
        <v>57</v>
      </c>
      <c r="E27">
        <v>2034</v>
      </c>
      <c r="F27">
        <v>232.4</v>
      </c>
      <c r="G27">
        <v>71.7</v>
      </c>
      <c r="H27">
        <v>1046.4000000000001</v>
      </c>
      <c r="I27">
        <v>94.9</v>
      </c>
      <c r="J27">
        <v>54</v>
      </c>
      <c r="K27">
        <v>260.54000000000002</v>
      </c>
      <c r="L27">
        <v>34</v>
      </c>
      <c r="M27" t="s">
        <v>26</v>
      </c>
      <c r="N27" t="s">
        <v>34</v>
      </c>
      <c r="O27" t="s">
        <v>26</v>
      </c>
      <c r="P27" t="s">
        <v>35</v>
      </c>
      <c r="Q27" t="s">
        <v>36</v>
      </c>
      <c r="R27">
        <v>4.5</v>
      </c>
      <c r="S27">
        <v>23.8</v>
      </c>
      <c r="T27">
        <v>25.6</v>
      </c>
      <c r="U27">
        <v>323</v>
      </c>
      <c r="V27">
        <v>9</v>
      </c>
    </row>
    <row r="28" spans="1:22" x14ac:dyDescent="0.35">
      <c r="A28" t="s">
        <v>95</v>
      </c>
      <c r="B28" t="s">
        <v>96</v>
      </c>
      <c r="C28" t="s">
        <v>97</v>
      </c>
      <c r="D28" t="s">
        <v>57</v>
      </c>
      <c r="E28">
        <v>2035</v>
      </c>
      <c r="F28">
        <v>23.2</v>
      </c>
      <c r="G28">
        <v>51.3</v>
      </c>
      <c r="H28">
        <v>77.900000000000006</v>
      </c>
      <c r="I28">
        <v>8.6999999999999993</v>
      </c>
      <c r="J28">
        <v>2.4</v>
      </c>
      <c r="K28">
        <v>15.68</v>
      </c>
      <c r="L28">
        <v>20</v>
      </c>
      <c r="M28" t="s">
        <v>27</v>
      </c>
      <c r="N28" t="s">
        <v>27</v>
      </c>
      <c r="O28" t="s">
        <v>27</v>
      </c>
      <c r="P28" t="s">
        <v>35</v>
      </c>
      <c r="Q28" t="s">
        <v>47</v>
      </c>
      <c r="R28">
        <v>9</v>
      </c>
      <c r="S28">
        <v>-1.8</v>
      </c>
      <c r="T28">
        <v>12.4</v>
      </c>
      <c r="U28">
        <v>37</v>
      </c>
      <c r="V28">
        <v>1</v>
      </c>
    </row>
    <row r="29" spans="1:22" x14ac:dyDescent="0.35">
      <c r="A29" t="s">
        <v>98</v>
      </c>
      <c r="B29" t="s">
        <v>99</v>
      </c>
      <c r="C29" t="s">
        <v>24</v>
      </c>
      <c r="D29" t="s">
        <v>78</v>
      </c>
      <c r="E29">
        <v>2029</v>
      </c>
      <c r="F29">
        <v>967.7</v>
      </c>
      <c r="G29">
        <v>40</v>
      </c>
      <c r="H29">
        <v>1384.2</v>
      </c>
      <c r="I29">
        <v>103.9</v>
      </c>
      <c r="J29">
        <v>58.6</v>
      </c>
      <c r="K29">
        <v>1087.54</v>
      </c>
      <c r="L29">
        <v>28</v>
      </c>
      <c r="M29" t="s">
        <v>26</v>
      </c>
      <c r="N29" t="s">
        <v>26</v>
      </c>
      <c r="O29" t="s">
        <v>27</v>
      </c>
      <c r="P29" t="s">
        <v>28</v>
      </c>
      <c r="Q29" t="s">
        <v>36</v>
      </c>
      <c r="R29">
        <v>3.2</v>
      </c>
      <c r="S29">
        <v>-614.1</v>
      </c>
      <c r="T29">
        <v>30.6</v>
      </c>
      <c r="U29">
        <v>601</v>
      </c>
      <c r="V29">
        <v>7</v>
      </c>
    </row>
    <row r="30" spans="1:22" x14ac:dyDescent="0.35">
      <c r="A30" t="s">
        <v>100</v>
      </c>
      <c r="B30" t="s">
        <v>101</v>
      </c>
      <c r="C30" t="s">
        <v>43</v>
      </c>
      <c r="D30" t="s">
        <v>57</v>
      </c>
      <c r="E30">
        <v>2032</v>
      </c>
      <c r="F30">
        <v>39.9</v>
      </c>
      <c r="G30">
        <v>22.5</v>
      </c>
      <c r="H30">
        <v>861.1</v>
      </c>
      <c r="I30">
        <v>66.099999999999994</v>
      </c>
      <c r="J30">
        <v>42.8</v>
      </c>
      <c r="K30">
        <v>18.600000000000001</v>
      </c>
      <c r="L30">
        <v>19</v>
      </c>
      <c r="M30" t="s">
        <v>26</v>
      </c>
      <c r="N30" t="s">
        <v>26</v>
      </c>
      <c r="O30" t="s">
        <v>26</v>
      </c>
      <c r="P30" t="s">
        <v>28</v>
      </c>
      <c r="Q30" t="s">
        <v>29</v>
      </c>
      <c r="R30">
        <v>2.6</v>
      </c>
      <c r="S30">
        <v>-545.4</v>
      </c>
      <c r="T30">
        <v>37</v>
      </c>
      <c r="U30">
        <v>51</v>
      </c>
      <c r="V30">
        <v>10</v>
      </c>
    </row>
    <row r="31" spans="1:22" x14ac:dyDescent="0.35">
      <c r="A31" t="s">
        <v>102</v>
      </c>
      <c r="B31" t="s">
        <v>103</v>
      </c>
      <c r="C31" t="s">
        <v>62</v>
      </c>
      <c r="D31" t="s">
        <v>57</v>
      </c>
      <c r="E31">
        <v>2032</v>
      </c>
      <c r="F31">
        <v>191.8</v>
      </c>
      <c r="G31">
        <v>13.4</v>
      </c>
      <c r="H31">
        <v>292.8</v>
      </c>
      <c r="I31">
        <v>32.4</v>
      </c>
      <c r="J31">
        <v>6.6</v>
      </c>
      <c r="K31">
        <v>85.81</v>
      </c>
      <c r="L31">
        <v>27</v>
      </c>
      <c r="M31" t="s">
        <v>26</v>
      </c>
      <c r="N31" t="s">
        <v>27</v>
      </c>
      <c r="O31" t="s">
        <v>27</v>
      </c>
      <c r="P31" t="s">
        <v>28</v>
      </c>
      <c r="Q31" t="s">
        <v>36</v>
      </c>
      <c r="R31">
        <v>8.4</v>
      </c>
      <c r="S31">
        <v>132.19999999999999</v>
      </c>
      <c r="T31">
        <v>11.4</v>
      </c>
      <c r="U31">
        <v>112</v>
      </c>
      <c r="V31">
        <v>1</v>
      </c>
    </row>
    <row r="32" spans="1:22" x14ac:dyDescent="0.35">
      <c r="A32" t="s">
        <v>104</v>
      </c>
      <c r="B32" t="s">
        <v>105</v>
      </c>
      <c r="C32" t="s">
        <v>32</v>
      </c>
      <c r="D32" t="s">
        <v>25</v>
      </c>
      <c r="E32">
        <v>2029</v>
      </c>
      <c r="F32">
        <v>7.2</v>
      </c>
      <c r="G32">
        <v>89.3</v>
      </c>
      <c r="H32">
        <v>2234.1</v>
      </c>
      <c r="I32">
        <v>384.7</v>
      </c>
      <c r="J32">
        <v>133.5</v>
      </c>
      <c r="K32">
        <v>25.34</v>
      </c>
      <c r="L32">
        <v>22</v>
      </c>
      <c r="M32" t="s">
        <v>34</v>
      </c>
      <c r="N32" t="s">
        <v>34</v>
      </c>
      <c r="O32" t="s">
        <v>26</v>
      </c>
      <c r="P32" t="s">
        <v>28</v>
      </c>
      <c r="Q32" t="s">
        <v>29</v>
      </c>
      <c r="R32">
        <v>12</v>
      </c>
      <c r="S32">
        <v>1572.4</v>
      </c>
      <c r="T32">
        <v>8.9</v>
      </c>
      <c r="U32">
        <v>10</v>
      </c>
      <c r="V32">
        <v>5</v>
      </c>
    </row>
    <row r="33" spans="1:22" x14ac:dyDescent="0.35">
      <c r="A33" t="s">
        <v>106</v>
      </c>
      <c r="B33" t="s">
        <v>107</v>
      </c>
      <c r="C33" t="s">
        <v>43</v>
      </c>
      <c r="D33" t="s">
        <v>33</v>
      </c>
      <c r="E33">
        <v>2028</v>
      </c>
      <c r="F33">
        <v>463.4</v>
      </c>
      <c r="G33">
        <v>17.399999999999999</v>
      </c>
      <c r="H33">
        <v>580.79999999999995</v>
      </c>
      <c r="I33">
        <v>91.6</v>
      </c>
      <c r="J33">
        <v>12</v>
      </c>
      <c r="K33">
        <v>173.21</v>
      </c>
      <c r="L33">
        <v>12</v>
      </c>
      <c r="M33" t="s">
        <v>26</v>
      </c>
      <c r="N33" t="s">
        <v>34</v>
      </c>
      <c r="O33" t="s">
        <v>27</v>
      </c>
      <c r="P33" t="s">
        <v>35</v>
      </c>
      <c r="Q33" t="s">
        <v>65</v>
      </c>
      <c r="R33">
        <v>13.4</v>
      </c>
      <c r="S33">
        <v>115.5</v>
      </c>
      <c r="T33">
        <v>7.3</v>
      </c>
      <c r="U33">
        <v>606</v>
      </c>
      <c r="V33">
        <v>1</v>
      </c>
    </row>
    <row r="34" spans="1:22" x14ac:dyDescent="0.35">
      <c r="A34" t="s">
        <v>108</v>
      </c>
      <c r="B34" t="s">
        <v>109</v>
      </c>
      <c r="C34" t="s">
        <v>32</v>
      </c>
      <c r="D34" t="s">
        <v>57</v>
      </c>
      <c r="E34">
        <v>2034</v>
      </c>
      <c r="F34">
        <v>7.9</v>
      </c>
      <c r="G34">
        <v>75.7</v>
      </c>
      <c r="H34">
        <v>1915</v>
      </c>
      <c r="I34">
        <v>2</v>
      </c>
      <c r="J34">
        <v>102.5</v>
      </c>
      <c r="K34">
        <v>43.1</v>
      </c>
      <c r="L34">
        <v>26</v>
      </c>
      <c r="M34" t="s">
        <v>27</v>
      </c>
      <c r="N34" t="s">
        <v>26</v>
      </c>
      <c r="O34" t="s">
        <v>26</v>
      </c>
      <c r="P34" t="s">
        <v>52</v>
      </c>
      <c r="Q34" t="s">
        <v>36</v>
      </c>
      <c r="R34">
        <v>-7.1</v>
      </c>
      <c r="S34">
        <v>-4537.8999999999996</v>
      </c>
      <c r="T34">
        <v>26.5</v>
      </c>
      <c r="U34">
        <v>10</v>
      </c>
      <c r="V34">
        <v>7</v>
      </c>
    </row>
    <row r="35" spans="1:22" x14ac:dyDescent="0.35">
      <c r="A35" t="s">
        <v>110</v>
      </c>
      <c r="B35" t="s">
        <v>111</v>
      </c>
      <c r="C35" t="s">
        <v>32</v>
      </c>
      <c r="D35" t="s">
        <v>25</v>
      </c>
      <c r="E35">
        <v>2033</v>
      </c>
      <c r="F35">
        <v>5</v>
      </c>
      <c r="G35">
        <v>61.8</v>
      </c>
      <c r="H35">
        <v>2620.1999999999998</v>
      </c>
      <c r="I35">
        <v>372.2</v>
      </c>
      <c r="J35">
        <v>157.19999999999999</v>
      </c>
      <c r="K35">
        <v>11.49</v>
      </c>
      <c r="L35">
        <v>20</v>
      </c>
      <c r="M35" t="s">
        <v>34</v>
      </c>
      <c r="N35" t="s">
        <v>27</v>
      </c>
      <c r="O35" t="s">
        <v>26</v>
      </c>
      <c r="P35" t="s">
        <v>35</v>
      </c>
      <c r="Q35" t="s">
        <v>36</v>
      </c>
      <c r="R35">
        <v>7.7</v>
      </c>
      <c r="S35">
        <v>554.4</v>
      </c>
      <c r="T35">
        <v>12.2</v>
      </c>
      <c r="U35">
        <v>10</v>
      </c>
      <c r="V35">
        <v>4</v>
      </c>
    </row>
    <row r="36" spans="1:22" x14ac:dyDescent="0.35">
      <c r="A36" t="s">
        <v>112</v>
      </c>
      <c r="B36" t="s">
        <v>113</v>
      </c>
      <c r="C36" t="s">
        <v>97</v>
      </c>
      <c r="D36" t="s">
        <v>57</v>
      </c>
      <c r="E36">
        <v>2030</v>
      </c>
      <c r="F36">
        <v>142</v>
      </c>
      <c r="G36">
        <v>52.5</v>
      </c>
      <c r="H36">
        <v>80.8</v>
      </c>
      <c r="I36">
        <v>6.7</v>
      </c>
      <c r="J36">
        <v>3.1</v>
      </c>
      <c r="K36">
        <v>94.22</v>
      </c>
      <c r="L36">
        <v>15</v>
      </c>
      <c r="M36" t="s">
        <v>26</v>
      </c>
      <c r="N36" t="s">
        <v>34</v>
      </c>
      <c r="O36" t="s">
        <v>27</v>
      </c>
      <c r="P36" t="s">
        <v>28</v>
      </c>
      <c r="Q36" t="s">
        <v>29</v>
      </c>
      <c r="R36">
        <v>4.5999999999999996</v>
      </c>
      <c r="S36">
        <v>-44.1</v>
      </c>
      <c r="T36">
        <v>22.5</v>
      </c>
      <c r="U36">
        <v>146</v>
      </c>
      <c r="V36">
        <v>1</v>
      </c>
    </row>
    <row r="37" spans="1:22" x14ac:dyDescent="0.35">
      <c r="A37" t="s">
        <v>114</v>
      </c>
      <c r="B37" t="s">
        <v>115</v>
      </c>
      <c r="C37" t="s">
        <v>39</v>
      </c>
      <c r="D37" t="s">
        <v>33</v>
      </c>
      <c r="E37">
        <v>2033</v>
      </c>
      <c r="F37">
        <v>811.3</v>
      </c>
      <c r="G37">
        <v>58.2</v>
      </c>
      <c r="H37">
        <v>152.5</v>
      </c>
      <c r="I37">
        <v>14.5</v>
      </c>
      <c r="J37">
        <v>8</v>
      </c>
      <c r="K37">
        <v>694.23</v>
      </c>
      <c r="L37">
        <v>26</v>
      </c>
      <c r="M37" t="s">
        <v>27</v>
      </c>
      <c r="N37" t="s">
        <v>26</v>
      </c>
      <c r="O37" t="s">
        <v>34</v>
      </c>
      <c r="P37" t="s">
        <v>28</v>
      </c>
      <c r="Q37" t="s">
        <v>36</v>
      </c>
      <c r="R37">
        <v>3.6</v>
      </c>
      <c r="S37">
        <v>-26.7</v>
      </c>
      <c r="T37">
        <v>23.5</v>
      </c>
      <c r="U37">
        <v>972</v>
      </c>
      <c r="V37">
        <v>3</v>
      </c>
    </row>
    <row r="38" spans="1:22" x14ac:dyDescent="0.35">
      <c r="A38" t="s">
        <v>116</v>
      </c>
      <c r="B38" t="s">
        <v>117</v>
      </c>
      <c r="C38" t="s">
        <v>62</v>
      </c>
      <c r="D38" t="s">
        <v>57</v>
      </c>
      <c r="E38">
        <v>2031</v>
      </c>
      <c r="F38">
        <v>33.5</v>
      </c>
      <c r="G38">
        <v>15.8</v>
      </c>
      <c r="H38">
        <v>81.5</v>
      </c>
      <c r="I38">
        <v>12.5</v>
      </c>
      <c r="J38">
        <v>2.1</v>
      </c>
      <c r="K38">
        <v>6.79</v>
      </c>
      <c r="L38">
        <v>30</v>
      </c>
      <c r="M38" t="s">
        <v>27</v>
      </c>
      <c r="N38" t="s">
        <v>26</v>
      </c>
      <c r="O38" t="s">
        <v>26</v>
      </c>
      <c r="P38" t="s">
        <v>35</v>
      </c>
      <c r="Q38" t="s">
        <v>36</v>
      </c>
      <c r="R38">
        <v>12.8</v>
      </c>
      <c r="S38">
        <v>109</v>
      </c>
      <c r="T38">
        <v>7.8</v>
      </c>
      <c r="U38">
        <v>43</v>
      </c>
      <c r="V38">
        <v>9</v>
      </c>
    </row>
    <row r="39" spans="1:22" x14ac:dyDescent="0.35">
      <c r="A39" t="s">
        <v>118</v>
      </c>
      <c r="B39" t="s">
        <v>119</v>
      </c>
      <c r="C39" t="s">
        <v>120</v>
      </c>
      <c r="D39" t="s">
        <v>33</v>
      </c>
      <c r="E39">
        <v>2033</v>
      </c>
      <c r="F39">
        <v>118</v>
      </c>
      <c r="G39">
        <v>72</v>
      </c>
      <c r="H39">
        <v>2378.8000000000002</v>
      </c>
      <c r="I39">
        <v>333.6</v>
      </c>
      <c r="J39">
        <v>168.3</v>
      </c>
      <c r="K39">
        <v>326.52999999999997</v>
      </c>
      <c r="L39">
        <v>25</v>
      </c>
      <c r="M39" t="s">
        <v>27</v>
      </c>
      <c r="N39" t="s">
        <v>26</v>
      </c>
      <c r="O39" t="s">
        <v>27</v>
      </c>
      <c r="P39" t="s">
        <v>52</v>
      </c>
      <c r="Q39" t="s">
        <v>65</v>
      </c>
      <c r="R39">
        <v>8</v>
      </c>
      <c r="S39">
        <v>167.7</v>
      </c>
      <c r="T39">
        <v>14.4</v>
      </c>
      <c r="U39">
        <v>140</v>
      </c>
      <c r="V39">
        <v>3</v>
      </c>
    </row>
    <row r="40" spans="1:22" x14ac:dyDescent="0.35">
      <c r="A40" t="s">
        <v>121</v>
      </c>
      <c r="B40" t="s">
        <v>122</v>
      </c>
      <c r="C40" t="s">
        <v>32</v>
      </c>
      <c r="D40" t="s">
        <v>25</v>
      </c>
      <c r="E40">
        <v>2028</v>
      </c>
      <c r="F40">
        <v>1.8</v>
      </c>
      <c r="G40">
        <v>85.2</v>
      </c>
      <c r="H40">
        <v>1236.9000000000001</v>
      </c>
      <c r="I40">
        <v>114.6</v>
      </c>
      <c r="J40">
        <v>90.7</v>
      </c>
      <c r="K40">
        <v>7.24</v>
      </c>
      <c r="L40">
        <v>22</v>
      </c>
      <c r="M40" t="s">
        <v>27</v>
      </c>
      <c r="N40" t="s">
        <v>26</v>
      </c>
      <c r="O40" t="s">
        <v>27</v>
      </c>
      <c r="P40" t="s">
        <v>28</v>
      </c>
      <c r="Q40" t="s">
        <v>47</v>
      </c>
      <c r="R40">
        <v>1.1000000000000001</v>
      </c>
      <c r="S40">
        <v>-883.2</v>
      </c>
      <c r="T40">
        <v>51.8</v>
      </c>
      <c r="U40">
        <v>10</v>
      </c>
      <c r="V40">
        <v>8</v>
      </c>
    </row>
    <row r="41" spans="1:22" x14ac:dyDescent="0.35">
      <c r="A41" t="s">
        <v>123</v>
      </c>
      <c r="B41" t="s">
        <v>124</v>
      </c>
      <c r="C41" t="s">
        <v>32</v>
      </c>
      <c r="D41" t="s">
        <v>33</v>
      </c>
      <c r="E41">
        <v>2028</v>
      </c>
      <c r="F41">
        <v>3.3</v>
      </c>
      <c r="G41">
        <v>78.2</v>
      </c>
      <c r="H41">
        <v>689.4</v>
      </c>
      <c r="I41">
        <v>2</v>
      </c>
      <c r="J41">
        <v>49.1</v>
      </c>
      <c r="K41">
        <v>19.52</v>
      </c>
      <c r="L41">
        <v>27</v>
      </c>
      <c r="M41" t="s">
        <v>26</v>
      </c>
      <c r="N41" t="s">
        <v>26</v>
      </c>
      <c r="O41" t="s">
        <v>27</v>
      </c>
      <c r="P41" t="s">
        <v>35</v>
      </c>
      <c r="Q41" t="s">
        <v>65</v>
      </c>
      <c r="R41">
        <v>-11.8</v>
      </c>
      <c r="S41">
        <v>-2312</v>
      </c>
      <c r="T41">
        <v>32.5</v>
      </c>
      <c r="U41">
        <v>10</v>
      </c>
      <c r="V41">
        <v>10</v>
      </c>
    </row>
    <row r="42" spans="1:22" x14ac:dyDescent="0.35">
      <c r="A42" t="s">
        <v>125</v>
      </c>
      <c r="B42" t="s">
        <v>126</v>
      </c>
      <c r="C42" t="s">
        <v>39</v>
      </c>
      <c r="D42" t="s">
        <v>33</v>
      </c>
      <c r="E42">
        <v>2035</v>
      </c>
      <c r="F42">
        <v>211.5</v>
      </c>
      <c r="G42">
        <v>44.6</v>
      </c>
      <c r="H42">
        <v>134.4</v>
      </c>
      <c r="I42">
        <v>24.5</v>
      </c>
      <c r="J42">
        <v>3</v>
      </c>
      <c r="K42">
        <v>71.16</v>
      </c>
      <c r="L42">
        <v>21</v>
      </c>
      <c r="M42" t="s">
        <v>27</v>
      </c>
      <c r="N42" t="s">
        <v>26</v>
      </c>
      <c r="O42" t="s">
        <v>27</v>
      </c>
      <c r="P42" t="s">
        <v>35</v>
      </c>
      <c r="Q42" t="s">
        <v>47</v>
      </c>
      <c r="R42">
        <v>15.8</v>
      </c>
      <c r="S42">
        <v>215.2</v>
      </c>
      <c r="T42">
        <v>6.3</v>
      </c>
      <c r="U42">
        <v>80</v>
      </c>
      <c r="V42">
        <v>1</v>
      </c>
    </row>
    <row r="43" spans="1:22" x14ac:dyDescent="0.35">
      <c r="A43" t="s">
        <v>127</v>
      </c>
      <c r="B43" t="s">
        <v>128</v>
      </c>
      <c r="C43" t="s">
        <v>120</v>
      </c>
      <c r="D43" t="s">
        <v>33</v>
      </c>
      <c r="E43">
        <v>2028</v>
      </c>
      <c r="F43">
        <v>400.1</v>
      </c>
      <c r="G43">
        <v>64.3</v>
      </c>
      <c r="H43">
        <v>1344.9</v>
      </c>
      <c r="I43">
        <v>109.1</v>
      </c>
      <c r="J43">
        <v>52.4</v>
      </c>
      <c r="K43">
        <v>278.2</v>
      </c>
      <c r="L43">
        <v>22</v>
      </c>
      <c r="M43" t="s">
        <v>27</v>
      </c>
      <c r="N43" t="s">
        <v>34</v>
      </c>
      <c r="O43" t="s">
        <v>27</v>
      </c>
      <c r="P43" t="s">
        <v>35</v>
      </c>
      <c r="Q43" t="s">
        <v>36</v>
      </c>
      <c r="R43">
        <v>3.7</v>
      </c>
      <c r="S43">
        <v>-506.6</v>
      </c>
      <c r="T43">
        <v>23.7</v>
      </c>
      <c r="U43">
        <v>300</v>
      </c>
      <c r="V43">
        <v>6</v>
      </c>
    </row>
    <row r="44" spans="1:22" x14ac:dyDescent="0.35">
      <c r="A44" t="s">
        <v>129</v>
      </c>
      <c r="B44" t="s">
        <v>130</v>
      </c>
      <c r="C44" t="s">
        <v>32</v>
      </c>
      <c r="D44" t="s">
        <v>46</v>
      </c>
      <c r="E44">
        <v>2033</v>
      </c>
      <c r="F44">
        <v>5.6</v>
      </c>
      <c r="G44">
        <v>67.099999999999994</v>
      </c>
      <c r="H44">
        <v>817.7</v>
      </c>
      <c r="I44">
        <v>129</v>
      </c>
      <c r="J44">
        <v>29.5</v>
      </c>
      <c r="K44">
        <v>12.75</v>
      </c>
      <c r="L44">
        <v>29</v>
      </c>
      <c r="M44" t="s">
        <v>27</v>
      </c>
      <c r="N44" t="s">
        <v>26</v>
      </c>
      <c r="O44" t="s">
        <v>26</v>
      </c>
      <c r="P44" t="s">
        <v>52</v>
      </c>
      <c r="Q44" t="s">
        <v>29</v>
      </c>
      <c r="R44">
        <v>11.7</v>
      </c>
      <c r="S44">
        <v>1017.3</v>
      </c>
      <c r="T44">
        <v>8.1999999999999993</v>
      </c>
      <c r="U44">
        <v>10</v>
      </c>
      <c r="V44">
        <v>1</v>
      </c>
    </row>
    <row r="45" spans="1:22" x14ac:dyDescent="0.35">
      <c r="A45" t="s">
        <v>131</v>
      </c>
      <c r="B45" t="s">
        <v>132</v>
      </c>
      <c r="C45" t="s">
        <v>43</v>
      </c>
      <c r="D45" t="s">
        <v>40</v>
      </c>
      <c r="E45">
        <v>2028</v>
      </c>
      <c r="F45">
        <v>35.4</v>
      </c>
      <c r="G45">
        <v>12.3</v>
      </c>
      <c r="H45">
        <v>667.5</v>
      </c>
      <c r="I45">
        <v>112.7</v>
      </c>
      <c r="J45">
        <v>39.299999999999997</v>
      </c>
      <c r="K45">
        <v>8.01</v>
      </c>
      <c r="L45">
        <v>19</v>
      </c>
      <c r="M45" t="s">
        <v>27</v>
      </c>
      <c r="N45" t="s">
        <v>26</v>
      </c>
      <c r="O45" t="s">
        <v>27</v>
      </c>
      <c r="P45" t="s">
        <v>35</v>
      </c>
      <c r="Q45" t="s">
        <v>36</v>
      </c>
      <c r="R45">
        <v>11.9</v>
      </c>
      <c r="S45">
        <v>267</v>
      </c>
      <c r="T45">
        <v>9.1</v>
      </c>
      <c r="U45">
        <v>35</v>
      </c>
      <c r="V45">
        <v>7</v>
      </c>
    </row>
    <row r="46" spans="1:22" x14ac:dyDescent="0.35">
      <c r="A46" t="s">
        <v>133</v>
      </c>
      <c r="B46" t="s">
        <v>134</v>
      </c>
      <c r="C46" t="s">
        <v>24</v>
      </c>
      <c r="D46" t="s">
        <v>57</v>
      </c>
      <c r="E46">
        <v>2035</v>
      </c>
      <c r="F46">
        <v>627.20000000000005</v>
      </c>
      <c r="G46">
        <v>49</v>
      </c>
      <c r="H46">
        <v>1581.7</v>
      </c>
      <c r="I46">
        <v>271.3</v>
      </c>
      <c r="J46">
        <v>78.900000000000006</v>
      </c>
      <c r="K46">
        <v>721.6</v>
      </c>
      <c r="L46">
        <v>27</v>
      </c>
      <c r="M46" t="s">
        <v>26</v>
      </c>
      <c r="N46" t="s">
        <v>26</v>
      </c>
      <c r="O46" t="s">
        <v>27</v>
      </c>
      <c r="P46" t="s">
        <v>28</v>
      </c>
      <c r="Q46" t="s">
        <v>47</v>
      </c>
      <c r="R46">
        <v>12.2</v>
      </c>
      <c r="S46">
        <v>1617</v>
      </c>
      <c r="T46">
        <v>8.1999999999999993</v>
      </c>
      <c r="U46">
        <v>822</v>
      </c>
      <c r="V46">
        <v>4</v>
      </c>
    </row>
    <row r="47" spans="1:22" x14ac:dyDescent="0.35">
      <c r="A47" t="s">
        <v>135</v>
      </c>
      <c r="B47" t="s">
        <v>136</v>
      </c>
      <c r="C47" t="s">
        <v>43</v>
      </c>
      <c r="D47" t="s">
        <v>25</v>
      </c>
      <c r="E47">
        <v>2028</v>
      </c>
      <c r="F47">
        <v>459</v>
      </c>
      <c r="G47">
        <v>10.199999999999999</v>
      </c>
      <c r="H47">
        <v>783.1</v>
      </c>
      <c r="I47">
        <v>85.3</v>
      </c>
      <c r="J47">
        <v>44.3</v>
      </c>
      <c r="K47">
        <v>131.75</v>
      </c>
      <c r="L47">
        <v>14</v>
      </c>
      <c r="M47" t="s">
        <v>27</v>
      </c>
      <c r="N47" t="s">
        <v>27</v>
      </c>
      <c r="O47" t="s">
        <v>27</v>
      </c>
      <c r="P47" t="s">
        <v>52</v>
      </c>
      <c r="Q47" t="s">
        <v>36</v>
      </c>
      <c r="R47">
        <v>5.2</v>
      </c>
      <c r="S47">
        <v>-388.1</v>
      </c>
      <c r="T47">
        <v>19.100000000000001</v>
      </c>
      <c r="U47">
        <v>473</v>
      </c>
      <c r="V47">
        <v>8</v>
      </c>
    </row>
    <row r="48" spans="1:22" x14ac:dyDescent="0.35">
      <c r="A48" t="s">
        <v>137</v>
      </c>
      <c r="B48" t="s">
        <v>138</v>
      </c>
      <c r="C48" t="s">
        <v>97</v>
      </c>
      <c r="D48" t="s">
        <v>40</v>
      </c>
      <c r="E48">
        <v>2031</v>
      </c>
      <c r="F48">
        <v>147.69999999999999</v>
      </c>
      <c r="G48">
        <v>35.4</v>
      </c>
      <c r="H48">
        <v>394.6</v>
      </c>
      <c r="I48">
        <v>27.4</v>
      </c>
      <c r="J48">
        <v>7.8</v>
      </c>
      <c r="K48">
        <v>74.2</v>
      </c>
      <c r="L48">
        <v>15</v>
      </c>
      <c r="M48" t="s">
        <v>26</v>
      </c>
      <c r="N48" t="s">
        <v>26</v>
      </c>
      <c r="O48" t="s">
        <v>34</v>
      </c>
      <c r="P48" t="s">
        <v>28</v>
      </c>
      <c r="Q48" t="s">
        <v>47</v>
      </c>
      <c r="R48">
        <v>4.2</v>
      </c>
      <c r="S48">
        <v>-195.5</v>
      </c>
      <c r="T48">
        <v>20.2</v>
      </c>
      <c r="U48">
        <v>207</v>
      </c>
      <c r="V48">
        <v>10</v>
      </c>
    </row>
    <row r="49" spans="1:22" x14ac:dyDescent="0.35">
      <c r="A49" t="s">
        <v>139</v>
      </c>
      <c r="B49" t="s">
        <v>140</v>
      </c>
      <c r="C49" t="s">
        <v>97</v>
      </c>
      <c r="D49" t="s">
        <v>78</v>
      </c>
      <c r="E49">
        <v>2032</v>
      </c>
      <c r="F49">
        <v>116.8</v>
      </c>
      <c r="G49">
        <v>37.5</v>
      </c>
      <c r="H49">
        <v>155.69999999999999</v>
      </c>
      <c r="I49">
        <v>7.6</v>
      </c>
      <c r="J49">
        <v>5.3</v>
      </c>
      <c r="K49">
        <v>66.569999999999993</v>
      </c>
      <c r="L49">
        <v>15</v>
      </c>
      <c r="M49" t="s">
        <v>27</v>
      </c>
      <c r="N49" t="s">
        <v>34</v>
      </c>
      <c r="O49" t="s">
        <v>27</v>
      </c>
      <c r="P49" t="s">
        <v>28</v>
      </c>
      <c r="Q49" t="s">
        <v>36</v>
      </c>
      <c r="R49">
        <v>1</v>
      </c>
      <c r="S49">
        <v>-134.5</v>
      </c>
      <c r="T49">
        <v>69.2</v>
      </c>
      <c r="U49">
        <v>120</v>
      </c>
      <c r="V49">
        <v>2</v>
      </c>
    </row>
    <row r="50" spans="1:22" x14ac:dyDescent="0.35">
      <c r="A50" t="s">
        <v>141</v>
      </c>
      <c r="B50" t="s">
        <v>142</v>
      </c>
      <c r="C50" t="s">
        <v>97</v>
      </c>
      <c r="D50" t="s">
        <v>46</v>
      </c>
      <c r="E50">
        <v>2028</v>
      </c>
      <c r="F50">
        <v>156.6</v>
      </c>
      <c r="G50">
        <v>40.1</v>
      </c>
      <c r="H50">
        <v>246.6</v>
      </c>
      <c r="I50">
        <v>32.9</v>
      </c>
      <c r="J50">
        <v>7.2</v>
      </c>
      <c r="K50">
        <v>119.68</v>
      </c>
      <c r="L50">
        <v>20</v>
      </c>
      <c r="M50" t="s">
        <v>27</v>
      </c>
      <c r="N50" t="s">
        <v>26</v>
      </c>
      <c r="O50" t="s">
        <v>26</v>
      </c>
      <c r="P50" t="s">
        <v>52</v>
      </c>
      <c r="Q50" t="s">
        <v>29</v>
      </c>
      <c r="R50">
        <v>11.1</v>
      </c>
      <c r="S50">
        <v>78.8</v>
      </c>
      <c r="T50">
        <v>9.6</v>
      </c>
      <c r="U50">
        <v>178</v>
      </c>
      <c r="V50">
        <v>8</v>
      </c>
    </row>
    <row r="51" spans="1:22" x14ac:dyDescent="0.35">
      <c r="A51" t="s">
        <v>143</v>
      </c>
      <c r="B51" t="s">
        <v>144</v>
      </c>
      <c r="C51" t="s">
        <v>97</v>
      </c>
      <c r="D51" t="s">
        <v>25</v>
      </c>
      <c r="E51">
        <v>2033</v>
      </c>
      <c r="F51">
        <v>107</v>
      </c>
      <c r="G51">
        <v>45.4</v>
      </c>
      <c r="H51">
        <v>340.3</v>
      </c>
      <c r="I51">
        <v>35</v>
      </c>
      <c r="J51">
        <v>8.5</v>
      </c>
      <c r="K51">
        <v>91.16</v>
      </c>
      <c r="L51">
        <v>15</v>
      </c>
      <c r="M51" t="s">
        <v>26</v>
      </c>
      <c r="N51" t="s">
        <v>26</v>
      </c>
      <c r="O51" t="s">
        <v>26</v>
      </c>
      <c r="P51" t="s">
        <v>52</v>
      </c>
      <c r="Q51" t="s">
        <v>29</v>
      </c>
      <c r="R51">
        <v>7.3</v>
      </c>
      <c r="S51">
        <v>-92.7</v>
      </c>
      <c r="T51">
        <v>12.9</v>
      </c>
      <c r="U51">
        <v>60</v>
      </c>
      <c r="V51">
        <v>2</v>
      </c>
    </row>
    <row r="52" spans="1:22" x14ac:dyDescent="0.35">
      <c r="A52" t="s">
        <v>145</v>
      </c>
      <c r="B52" t="s">
        <v>146</v>
      </c>
      <c r="C52" t="s">
        <v>97</v>
      </c>
      <c r="D52" t="s">
        <v>33</v>
      </c>
      <c r="E52">
        <v>2030</v>
      </c>
      <c r="F52">
        <v>68.900000000000006</v>
      </c>
      <c r="G52">
        <v>39.6</v>
      </c>
      <c r="H52">
        <v>162.4</v>
      </c>
      <c r="I52">
        <v>6.4</v>
      </c>
      <c r="J52">
        <v>3.2</v>
      </c>
      <c r="K52">
        <v>64.180000000000007</v>
      </c>
      <c r="L52">
        <v>15</v>
      </c>
      <c r="M52" t="s">
        <v>26</v>
      </c>
      <c r="N52" t="s">
        <v>26</v>
      </c>
      <c r="O52" t="s">
        <v>27</v>
      </c>
      <c r="P52" t="s">
        <v>28</v>
      </c>
      <c r="Q52" t="s">
        <v>36</v>
      </c>
      <c r="R52">
        <v>2</v>
      </c>
      <c r="S52">
        <v>-133.19999999999999</v>
      </c>
      <c r="T52">
        <v>50.2</v>
      </c>
      <c r="U52">
        <v>104</v>
      </c>
      <c r="V52">
        <v>9</v>
      </c>
    </row>
    <row r="53" spans="1:22" x14ac:dyDescent="0.35">
      <c r="A53" t="s">
        <v>147</v>
      </c>
      <c r="B53" t="s">
        <v>148</v>
      </c>
      <c r="C53" t="s">
        <v>39</v>
      </c>
      <c r="D53" t="s">
        <v>25</v>
      </c>
      <c r="E53">
        <v>2033</v>
      </c>
      <c r="F53">
        <v>118.4</v>
      </c>
      <c r="G53">
        <v>52.1</v>
      </c>
      <c r="H53">
        <v>696.2</v>
      </c>
      <c r="I53">
        <v>62.5</v>
      </c>
      <c r="J53">
        <v>29.4</v>
      </c>
      <c r="K53">
        <v>67.680000000000007</v>
      </c>
      <c r="L53">
        <v>22</v>
      </c>
      <c r="M53" t="s">
        <v>26</v>
      </c>
      <c r="N53" t="s">
        <v>26</v>
      </c>
      <c r="O53" t="s">
        <v>27</v>
      </c>
      <c r="P53" t="s">
        <v>35</v>
      </c>
      <c r="Q53" t="s">
        <v>47</v>
      </c>
      <c r="R53">
        <v>3.8</v>
      </c>
      <c r="S53">
        <v>-202.4</v>
      </c>
      <c r="T53">
        <v>21</v>
      </c>
      <c r="U53">
        <v>113</v>
      </c>
      <c r="V53">
        <v>10</v>
      </c>
    </row>
    <row r="54" spans="1:22" x14ac:dyDescent="0.35">
      <c r="A54" t="s">
        <v>149</v>
      </c>
      <c r="B54" t="s">
        <v>150</v>
      </c>
      <c r="C54" t="s">
        <v>24</v>
      </c>
      <c r="D54" t="s">
        <v>57</v>
      </c>
      <c r="E54">
        <v>2031</v>
      </c>
      <c r="F54">
        <v>465.4</v>
      </c>
      <c r="G54">
        <v>48.7</v>
      </c>
      <c r="H54">
        <v>2992.9</v>
      </c>
      <c r="I54">
        <v>346.1</v>
      </c>
      <c r="J54">
        <v>127.6</v>
      </c>
      <c r="K54">
        <v>914.83</v>
      </c>
      <c r="L54">
        <v>30</v>
      </c>
      <c r="M54" t="s">
        <v>34</v>
      </c>
      <c r="N54" t="s">
        <v>34</v>
      </c>
      <c r="O54" t="s">
        <v>27</v>
      </c>
      <c r="P54" t="s">
        <v>52</v>
      </c>
      <c r="Q54" t="s">
        <v>29</v>
      </c>
      <c r="R54">
        <v>7.4</v>
      </c>
      <c r="S54">
        <v>1824.1</v>
      </c>
      <c r="T54">
        <v>13.7</v>
      </c>
      <c r="U54">
        <v>486</v>
      </c>
      <c r="V54">
        <v>5</v>
      </c>
    </row>
    <row r="55" spans="1:22" x14ac:dyDescent="0.35">
      <c r="A55" t="s">
        <v>151</v>
      </c>
      <c r="B55" t="s">
        <v>152</v>
      </c>
      <c r="C55" t="s">
        <v>32</v>
      </c>
      <c r="D55" t="s">
        <v>25</v>
      </c>
      <c r="E55">
        <v>2029</v>
      </c>
      <c r="F55">
        <v>2.1</v>
      </c>
      <c r="G55">
        <v>70.900000000000006</v>
      </c>
      <c r="H55">
        <v>1408.9</v>
      </c>
      <c r="I55">
        <v>105</v>
      </c>
      <c r="J55">
        <v>52.8</v>
      </c>
      <c r="K55">
        <v>4.13</v>
      </c>
      <c r="L55">
        <v>23</v>
      </c>
      <c r="M55" t="s">
        <v>34</v>
      </c>
      <c r="N55" t="s">
        <v>26</v>
      </c>
      <c r="O55" t="s">
        <v>27</v>
      </c>
      <c r="P55" t="s">
        <v>28</v>
      </c>
      <c r="Q55" t="s">
        <v>47</v>
      </c>
      <c r="R55">
        <v>3.6</v>
      </c>
      <c r="S55">
        <v>-623.6</v>
      </c>
      <c r="T55">
        <v>27</v>
      </c>
      <c r="U55">
        <v>10</v>
      </c>
      <c r="V55">
        <v>10</v>
      </c>
    </row>
    <row r="56" spans="1:22" x14ac:dyDescent="0.35">
      <c r="A56" t="s">
        <v>153</v>
      </c>
      <c r="B56" t="s">
        <v>154</v>
      </c>
      <c r="C56" t="s">
        <v>39</v>
      </c>
      <c r="D56" t="s">
        <v>46</v>
      </c>
      <c r="E56">
        <v>2035</v>
      </c>
      <c r="F56">
        <v>56</v>
      </c>
      <c r="G56">
        <v>53.2</v>
      </c>
      <c r="H56">
        <v>127</v>
      </c>
      <c r="I56">
        <v>6.5</v>
      </c>
      <c r="J56">
        <v>3.4</v>
      </c>
      <c r="K56">
        <v>38.61</v>
      </c>
      <c r="L56">
        <v>28</v>
      </c>
      <c r="M56" t="s">
        <v>27</v>
      </c>
      <c r="N56" t="s">
        <v>27</v>
      </c>
      <c r="O56" t="s">
        <v>27</v>
      </c>
      <c r="P56" t="s">
        <v>52</v>
      </c>
      <c r="Q56" t="s">
        <v>65</v>
      </c>
      <c r="R56">
        <v>1.4</v>
      </c>
      <c r="S56">
        <v>-68</v>
      </c>
      <c r="T56">
        <v>41.4</v>
      </c>
      <c r="U56">
        <v>68</v>
      </c>
      <c r="V56">
        <v>1</v>
      </c>
    </row>
    <row r="57" spans="1:22" x14ac:dyDescent="0.35">
      <c r="A57" t="s">
        <v>155</v>
      </c>
      <c r="B57" t="s">
        <v>156</v>
      </c>
      <c r="C57" t="s">
        <v>39</v>
      </c>
      <c r="D57" t="s">
        <v>57</v>
      </c>
      <c r="E57">
        <v>2034</v>
      </c>
      <c r="F57">
        <v>397</v>
      </c>
      <c r="G57">
        <v>46.2</v>
      </c>
      <c r="H57">
        <v>404.7</v>
      </c>
      <c r="I57">
        <v>42.3</v>
      </c>
      <c r="J57">
        <v>17.7</v>
      </c>
      <c r="K57">
        <v>275.26</v>
      </c>
      <c r="L57">
        <v>24</v>
      </c>
      <c r="M57" t="s">
        <v>34</v>
      </c>
      <c r="N57" t="s">
        <v>27</v>
      </c>
      <c r="O57" t="s">
        <v>27</v>
      </c>
      <c r="P57" t="s">
        <v>52</v>
      </c>
      <c r="Q57" t="s">
        <v>47</v>
      </c>
      <c r="R57">
        <v>6.9</v>
      </c>
      <c r="S57">
        <v>-42.1</v>
      </c>
      <c r="T57">
        <v>16.5</v>
      </c>
      <c r="U57">
        <v>545</v>
      </c>
      <c r="V57">
        <v>7</v>
      </c>
    </row>
    <row r="58" spans="1:22" x14ac:dyDescent="0.35">
      <c r="A58" t="s">
        <v>157</v>
      </c>
      <c r="B58" t="s">
        <v>158</v>
      </c>
      <c r="C58" t="s">
        <v>120</v>
      </c>
      <c r="D58" t="s">
        <v>40</v>
      </c>
      <c r="E58">
        <v>2031</v>
      </c>
      <c r="F58">
        <v>456.3</v>
      </c>
      <c r="G58">
        <v>58.4</v>
      </c>
      <c r="H58">
        <v>680.9</v>
      </c>
      <c r="I58">
        <v>2</v>
      </c>
      <c r="J58">
        <v>37.200000000000003</v>
      </c>
      <c r="K58">
        <v>1436.03</v>
      </c>
      <c r="L58">
        <v>23</v>
      </c>
      <c r="M58" t="s">
        <v>27</v>
      </c>
      <c r="N58" t="s">
        <v>27</v>
      </c>
      <c r="O58" t="s">
        <v>26</v>
      </c>
      <c r="P58" t="s">
        <v>35</v>
      </c>
      <c r="Q58" t="s">
        <v>47</v>
      </c>
      <c r="R58">
        <v>-7.9</v>
      </c>
      <c r="S58">
        <v>-1513</v>
      </c>
      <c r="T58">
        <v>50.2</v>
      </c>
      <c r="U58">
        <v>441</v>
      </c>
      <c r="V58">
        <v>6</v>
      </c>
    </row>
    <row r="59" spans="1:22" x14ac:dyDescent="0.35">
      <c r="A59" t="s">
        <v>159</v>
      </c>
      <c r="B59" t="s">
        <v>160</v>
      </c>
      <c r="C59" t="s">
        <v>43</v>
      </c>
      <c r="D59" t="s">
        <v>78</v>
      </c>
      <c r="E59">
        <v>2031</v>
      </c>
      <c r="F59">
        <v>398.9</v>
      </c>
      <c r="G59">
        <v>11.1</v>
      </c>
      <c r="H59">
        <v>689.4</v>
      </c>
      <c r="I59">
        <v>176.4</v>
      </c>
      <c r="J59">
        <v>27.2</v>
      </c>
      <c r="K59">
        <v>78.2</v>
      </c>
      <c r="L59">
        <v>14</v>
      </c>
      <c r="M59" t="s">
        <v>26</v>
      </c>
      <c r="N59" t="s">
        <v>27</v>
      </c>
      <c r="O59" t="s">
        <v>26</v>
      </c>
      <c r="P59" t="s">
        <v>52</v>
      </c>
      <c r="Q59" t="s">
        <v>29</v>
      </c>
      <c r="R59">
        <v>20.7</v>
      </c>
      <c r="S59">
        <v>695.9</v>
      </c>
      <c r="T59">
        <v>4.5999999999999996</v>
      </c>
      <c r="U59">
        <v>623</v>
      </c>
      <c r="V59">
        <v>6</v>
      </c>
    </row>
    <row r="60" spans="1:22" x14ac:dyDescent="0.35">
      <c r="A60" t="s">
        <v>161</v>
      </c>
      <c r="B60" t="s">
        <v>162</v>
      </c>
      <c r="C60" t="s">
        <v>39</v>
      </c>
      <c r="D60" t="s">
        <v>46</v>
      </c>
      <c r="E60">
        <v>2031</v>
      </c>
      <c r="F60">
        <v>598</v>
      </c>
      <c r="G60">
        <v>48.2</v>
      </c>
      <c r="H60">
        <v>484.6</v>
      </c>
      <c r="I60">
        <v>2</v>
      </c>
      <c r="J60">
        <v>9.6999999999999993</v>
      </c>
      <c r="K60">
        <v>232.9</v>
      </c>
      <c r="L60">
        <v>25</v>
      </c>
      <c r="M60" t="s">
        <v>27</v>
      </c>
      <c r="N60" t="s">
        <v>27</v>
      </c>
      <c r="O60" t="s">
        <v>27</v>
      </c>
      <c r="P60" t="s">
        <v>35</v>
      </c>
      <c r="Q60" t="s">
        <v>65</v>
      </c>
      <c r="R60">
        <v>-4.9000000000000004</v>
      </c>
      <c r="S60">
        <v>-865.2</v>
      </c>
      <c r="T60">
        <v>28.3</v>
      </c>
      <c r="U60">
        <v>811</v>
      </c>
      <c r="V60">
        <v>1</v>
      </c>
    </row>
    <row r="61" spans="1:22" x14ac:dyDescent="0.35">
      <c r="A61" t="s">
        <v>163</v>
      </c>
      <c r="B61" t="s">
        <v>164</v>
      </c>
      <c r="C61" t="s">
        <v>62</v>
      </c>
      <c r="D61" t="s">
        <v>57</v>
      </c>
      <c r="E61">
        <v>2028</v>
      </c>
      <c r="F61">
        <v>112</v>
      </c>
      <c r="G61">
        <v>17.899999999999999</v>
      </c>
      <c r="H61">
        <v>548.20000000000005</v>
      </c>
      <c r="I61">
        <v>48.4</v>
      </c>
      <c r="J61">
        <v>10.4</v>
      </c>
      <c r="K61">
        <v>30.74</v>
      </c>
      <c r="L61">
        <v>25</v>
      </c>
      <c r="M61" t="s">
        <v>26</v>
      </c>
      <c r="N61" t="s">
        <v>27</v>
      </c>
      <c r="O61" t="s">
        <v>27</v>
      </c>
      <c r="P61" t="s">
        <v>28</v>
      </c>
      <c r="Q61" t="s">
        <v>29</v>
      </c>
      <c r="R61">
        <v>8</v>
      </c>
      <c r="S61">
        <v>19.7</v>
      </c>
      <c r="T61">
        <v>14.4</v>
      </c>
      <c r="U61">
        <v>78</v>
      </c>
      <c r="V61">
        <v>9</v>
      </c>
    </row>
    <row r="62" spans="1:22" x14ac:dyDescent="0.35">
      <c r="A62" t="s">
        <v>165</v>
      </c>
      <c r="B62" t="s">
        <v>166</v>
      </c>
      <c r="C62" t="s">
        <v>97</v>
      </c>
      <c r="D62" t="s">
        <v>57</v>
      </c>
      <c r="E62">
        <v>2028</v>
      </c>
      <c r="F62">
        <v>9.9</v>
      </c>
      <c r="G62">
        <v>33.4</v>
      </c>
      <c r="H62">
        <v>369.9</v>
      </c>
      <c r="I62">
        <v>35.5</v>
      </c>
      <c r="J62">
        <v>11.4</v>
      </c>
      <c r="K62">
        <v>6.22</v>
      </c>
      <c r="L62">
        <v>17</v>
      </c>
      <c r="M62" t="s">
        <v>27</v>
      </c>
      <c r="N62" t="s">
        <v>26</v>
      </c>
      <c r="O62" t="s">
        <v>27</v>
      </c>
      <c r="P62" t="s">
        <v>35</v>
      </c>
      <c r="Q62" t="s">
        <v>29</v>
      </c>
      <c r="R62">
        <v>5.5</v>
      </c>
      <c r="S62">
        <v>-52</v>
      </c>
      <c r="T62">
        <v>15.3</v>
      </c>
      <c r="U62">
        <v>10</v>
      </c>
      <c r="V62">
        <v>5</v>
      </c>
    </row>
    <row r="63" spans="1:22" x14ac:dyDescent="0.35">
      <c r="A63" t="s">
        <v>167</v>
      </c>
      <c r="B63" t="s">
        <v>168</v>
      </c>
      <c r="C63" t="s">
        <v>62</v>
      </c>
      <c r="D63" t="s">
        <v>25</v>
      </c>
      <c r="E63">
        <v>2030</v>
      </c>
      <c r="F63">
        <v>254.8</v>
      </c>
      <c r="G63">
        <v>14</v>
      </c>
      <c r="H63">
        <v>392.4</v>
      </c>
      <c r="I63">
        <v>18</v>
      </c>
      <c r="J63">
        <v>8.1999999999999993</v>
      </c>
      <c r="K63">
        <v>175.95</v>
      </c>
      <c r="L63">
        <v>26</v>
      </c>
      <c r="M63" t="s">
        <v>27</v>
      </c>
      <c r="N63" t="s">
        <v>26</v>
      </c>
      <c r="O63" t="s">
        <v>26</v>
      </c>
      <c r="P63" t="s">
        <v>35</v>
      </c>
      <c r="Q63" t="s">
        <v>36</v>
      </c>
      <c r="R63">
        <v>3.7</v>
      </c>
      <c r="S63">
        <v>-215.5</v>
      </c>
      <c r="T63">
        <v>40.4</v>
      </c>
      <c r="U63">
        <v>290</v>
      </c>
      <c r="V63">
        <v>5</v>
      </c>
    </row>
    <row r="64" spans="1:22" x14ac:dyDescent="0.35">
      <c r="A64" t="s">
        <v>169</v>
      </c>
      <c r="B64" t="s">
        <v>170</v>
      </c>
      <c r="C64" t="s">
        <v>39</v>
      </c>
      <c r="D64" t="s">
        <v>40</v>
      </c>
      <c r="E64">
        <v>2028</v>
      </c>
      <c r="F64">
        <v>50.1</v>
      </c>
      <c r="G64">
        <v>52.9</v>
      </c>
      <c r="H64">
        <v>1395.9</v>
      </c>
      <c r="I64">
        <v>25.2</v>
      </c>
      <c r="J64">
        <v>37</v>
      </c>
      <c r="K64">
        <v>40.659999999999997</v>
      </c>
      <c r="L64">
        <v>28</v>
      </c>
      <c r="M64" t="s">
        <v>27</v>
      </c>
      <c r="N64" t="s">
        <v>26</v>
      </c>
      <c r="O64" t="s">
        <v>27</v>
      </c>
      <c r="P64" t="s">
        <v>52</v>
      </c>
      <c r="Q64" t="s">
        <v>65</v>
      </c>
      <c r="R64">
        <v>-1.8</v>
      </c>
      <c r="S64">
        <v>-1637.7</v>
      </c>
      <c r="T64">
        <v>29.5</v>
      </c>
      <c r="U64">
        <v>51</v>
      </c>
      <c r="V64">
        <v>6</v>
      </c>
    </row>
    <row r="65" spans="1:22" x14ac:dyDescent="0.35">
      <c r="A65" t="s">
        <v>171</v>
      </c>
      <c r="B65" t="s">
        <v>172</v>
      </c>
      <c r="C65" t="s">
        <v>32</v>
      </c>
      <c r="D65" t="s">
        <v>25</v>
      </c>
      <c r="E65">
        <v>2031</v>
      </c>
      <c r="F65">
        <v>7.5</v>
      </c>
      <c r="G65">
        <v>66.8</v>
      </c>
      <c r="H65">
        <v>834.5</v>
      </c>
      <c r="I65">
        <v>139.5</v>
      </c>
      <c r="J65">
        <v>60</v>
      </c>
      <c r="K65">
        <v>30.39</v>
      </c>
      <c r="L65">
        <v>29</v>
      </c>
      <c r="M65" t="s">
        <v>34</v>
      </c>
      <c r="N65" t="s">
        <v>26</v>
      </c>
      <c r="O65" t="s">
        <v>34</v>
      </c>
      <c r="P65" t="s">
        <v>35</v>
      </c>
      <c r="Q65" t="s">
        <v>47</v>
      </c>
      <c r="R65">
        <v>9.1</v>
      </c>
      <c r="S65">
        <v>826.2</v>
      </c>
      <c r="T65">
        <v>10.5</v>
      </c>
      <c r="U65">
        <v>10</v>
      </c>
      <c r="V65">
        <v>10</v>
      </c>
    </row>
    <row r="66" spans="1:22" x14ac:dyDescent="0.35">
      <c r="A66" t="s">
        <v>173</v>
      </c>
      <c r="B66" t="s">
        <v>174</v>
      </c>
      <c r="C66" t="s">
        <v>62</v>
      </c>
      <c r="D66" t="s">
        <v>46</v>
      </c>
      <c r="E66">
        <v>2030</v>
      </c>
      <c r="F66">
        <v>237</v>
      </c>
      <c r="G66">
        <v>19.600000000000001</v>
      </c>
      <c r="H66">
        <v>339.7</v>
      </c>
      <c r="I66">
        <v>54.5</v>
      </c>
      <c r="J66">
        <v>7.3</v>
      </c>
      <c r="K66">
        <v>174.46</v>
      </c>
      <c r="L66">
        <v>26</v>
      </c>
      <c r="M66" t="s">
        <v>27</v>
      </c>
      <c r="N66" t="s">
        <v>26</v>
      </c>
      <c r="O66" t="s">
        <v>27</v>
      </c>
      <c r="P66" t="s">
        <v>52</v>
      </c>
      <c r="Q66" t="s">
        <v>65</v>
      </c>
      <c r="R66">
        <v>15</v>
      </c>
      <c r="S66">
        <v>491</v>
      </c>
      <c r="T66">
        <v>7.2</v>
      </c>
      <c r="U66">
        <v>292</v>
      </c>
      <c r="V66">
        <v>6</v>
      </c>
    </row>
    <row r="67" spans="1:22" x14ac:dyDescent="0.35">
      <c r="A67" t="s">
        <v>175</v>
      </c>
      <c r="B67" t="s">
        <v>176</v>
      </c>
      <c r="C67" t="s">
        <v>43</v>
      </c>
      <c r="D67" t="s">
        <v>33</v>
      </c>
      <c r="E67">
        <v>2030</v>
      </c>
      <c r="F67">
        <v>90.6</v>
      </c>
      <c r="G67">
        <v>18</v>
      </c>
      <c r="H67">
        <v>77.2</v>
      </c>
      <c r="I67">
        <v>4.2</v>
      </c>
      <c r="J67">
        <v>3.1</v>
      </c>
      <c r="K67">
        <v>26.41</v>
      </c>
      <c r="L67">
        <v>16</v>
      </c>
      <c r="M67" t="s">
        <v>27</v>
      </c>
      <c r="N67" t="s">
        <v>26</v>
      </c>
      <c r="O67" t="s">
        <v>27</v>
      </c>
      <c r="P67" t="s">
        <v>52</v>
      </c>
      <c r="Q67" t="s">
        <v>36</v>
      </c>
      <c r="R67">
        <v>0.8</v>
      </c>
      <c r="S67">
        <v>-65.5</v>
      </c>
      <c r="T67">
        <v>68.400000000000006</v>
      </c>
      <c r="U67">
        <v>124</v>
      </c>
      <c r="V67">
        <v>9</v>
      </c>
    </row>
    <row r="68" spans="1:22" x14ac:dyDescent="0.35">
      <c r="A68" t="s">
        <v>177</v>
      </c>
      <c r="B68" t="s">
        <v>178</v>
      </c>
      <c r="C68" t="s">
        <v>43</v>
      </c>
      <c r="D68" t="s">
        <v>78</v>
      </c>
      <c r="E68">
        <v>2034</v>
      </c>
      <c r="F68">
        <v>214.5</v>
      </c>
      <c r="G68">
        <v>27</v>
      </c>
      <c r="H68">
        <v>818.4</v>
      </c>
      <c r="I68">
        <v>114.4</v>
      </c>
      <c r="J68">
        <v>47.5</v>
      </c>
      <c r="K68">
        <v>66.33</v>
      </c>
      <c r="L68">
        <v>17</v>
      </c>
      <c r="M68" t="s">
        <v>27</v>
      </c>
      <c r="N68" t="s">
        <v>26</v>
      </c>
      <c r="O68" t="s">
        <v>34</v>
      </c>
      <c r="P68" t="s">
        <v>35</v>
      </c>
      <c r="Q68" t="s">
        <v>65</v>
      </c>
      <c r="R68">
        <v>7.5</v>
      </c>
      <c r="S68">
        <v>-121.6</v>
      </c>
      <c r="T68">
        <v>12.2</v>
      </c>
      <c r="U68">
        <v>253</v>
      </c>
      <c r="V68">
        <v>4</v>
      </c>
    </row>
    <row r="69" spans="1:22" x14ac:dyDescent="0.35">
      <c r="A69" t="s">
        <v>179</v>
      </c>
      <c r="B69" t="s">
        <v>180</v>
      </c>
      <c r="C69" t="s">
        <v>120</v>
      </c>
      <c r="D69" t="s">
        <v>40</v>
      </c>
      <c r="E69">
        <v>2032</v>
      </c>
      <c r="F69">
        <v>574.6</v>
      </c>
      <c r="G69">
        <v>39.9</v>
      </c>
      <c r="H69">
        <v>1552.3</v>
      </c>
      <c r="I69">
        <v>180.8</v>
      </c>
      <c r="J69">
        <v>95.8</v>
      </c>
      <c r="K69">
        <v>688.41</v>
      </c>
      <c r="L69">
        <v>22</v>
      </c>
      <c r="M69" t="s">
        <v>26</v>
      </c>
      <c r="N69" t="s">
        <v>34</v>
      </c>
      <c r="O69" t="s">
        <v>34</v>
      </c>
      <c r="P69" t="s">
        <v>35</v>
      </c>
      <c r="Q69" t="s">
        <v>47</v>
      </c>
      <c r="R69">
        <v>6.5</v>
      </c>
      <c r="S69">
        <v>-240.2</v>
      </c>
      <c r="T69">
        <v>18.3</v>
      </c>
      <c r="U69">
        <v>585</v>
      </c>
      <c r="V69">
        <v>6</v>
      </c>
    </row>
    <row r="70" spans="1:22" x14ac:dyDescent="0.35">
      <c r="A70" t="s">
        <v>181</v>
      </c>
      <c r="B70" t="s">
        <v>182</v>
      </c>
      <c r="C70" t="s">
        <v>43</v>
      </c>
      <c r="D70" t="s">
        <v>33</v>
      </c>
      <c r="E70">
        <v>2030</v>
      </c>
      <c r="F70">
        <v>249.3</v>
      </c>
      <c r="G70">
        <v>14.1</v>
      </c>
      <c r="H70">
        <v>746.1</v>
      </c>
      <c r="I70">
        <v>55.3</v>
      </c>
      <c r="J70">
        <v>23.9</v>
      </c>
      <c r="K70">
        <v>6.16</v>
      </c>
      <c r="L70">
        <v>18</v>
      </c>
      <c r="M70" t="s">
        <v>27</v>
      </c>
      <c r="N70" t="s">
        <v>34</v>
      </c>
      <c r="O70" t="s">
        <v>27</v>
      </c>
      <c r="P70" t="s">
        <v>35</v>
      </c>
      <c r="Q70" t="s">
        <v>65</v>
      </c>
      <c r="R70">
        <v>3.1</v>
      </c>
      <c r="S70">
        <v>-310.5</v>
      </c>
      <c r="T70">
        <v>23.8</v>
      </c>
      <c r="U70">
        <v>135</v>
      </c>
      <c r="V70">
        <v>3</v>
      </c>
    </row>
    <row r="71" spans="1:22" x14ac:dyDescent="0.35">
      <c r="A71" t="s">
        <v>183</v>
      </c>
      <c r="B71" t="s">
        <v>184</v>
      </c>
      <c r="C71" t="s">
        <v>120</v>
      </c>
      <c r="D71" t="s">
        <v>57</v>
      </c>
      <c r="E71">
        <v>2028</v>
      </c>
      <c r="F71">
        <v>147.80000000000001</v>
      </c>
      <c r="G71">
        <v>32.6</v>
      </c>
      <c r="H71">
        <v>1174.8</v>
      </c>
      <c r="I71">
        <v>155.30000000000001</v>
      </c>
      <c r="J71">
        <v>76</v>
      </c>
      <c r="K71">
        <v>309.52</v>
      </c>
      <c r="L71">
        <v>21</v>
      </c>
      <c r="M71" t="s">
        <v>27</v>
      </c>
      <c r="N71" t="s">
        <v>26</v>
      </c>
      <c r="O71" t="s">
        <v>27</v>
      </c>
      <c r="P71" t="s">
        <v>28</v>
      </c>
      <c r="Q71" t="s">
        <v>36</v>
      </c>
      <c r="R71">
        <v>6.1</v>
      </c>
      <c r="S71">
        <v>-38.200000000000003</v>
      </c>
      <c r="T71">
        <v>14.8</v>
      </c>
      <c r="U71">
        <v>150</v>
      </c>
      <c r="V71">
        <v>4</v>
      </c>
    </row>
    <row r="72" spans="1:22" x14ac:dyDescent="0.35">
      <c r="A72" t="s">
        <v>185</v>
      </c>
      <c r="B72" t="s">
        <v>186</v>
      </c>
      <c r="C72" t="s">
        <v>39</v>
      </c>
      <c r="D72" t="s">
        <v>40</v>
      </c>
      <c r="E72">
        <v>2031</v>
      </c>
      <c r="F72">
        <v>528.29999999999995</v>
      </c>
      <c r="G72">
        <v>69.400000000000006</v>
      </c>
      <c r="H72">
        <v>394.5</v>
      </c>
      <c r="I72">
        <v>2.8</v>
      </c>
      <c r="J72">
        <v>20.8</v>
      </c>
      <c r="K72">
        <v>385.47</v>
      </c>
      <c r="L72">
        <v>40</v>
      </c>
      <c r="M72" t="s">
        <v>27</v>
      </c>
      <c r="N72" t="s">
        <v>26</v>
      </c>
      <c r="O72" t="s">
        <v>26</v>
      </c>
      <c r="P72" t="s">
        <v>35</v>
      </c>
      <c r="Q72" t="s">
        <v>65</v>
      </c>
      <c r="R72">
        <v>-5.7</v>
      </c>
      <c r="S72">
        <v>-823.2</v>
      </c>
      <c r="T72">
        <v>46.1</v>
      </c>
      <c r="U72">
        <v>309</v>
      </c>
      <c r="V72">
        <v>9</v>
      </c>
    </row>
    <row r="73" spans="1:22" x14ac:dyDescent="0.35">
      <c r="A73" t="s">
        <v>187</v>
      </c>
      <c r="B73" t="s">
        <v>188</v>
      </c>
      <c r="C73" t="s">
        <v>120</v>
      </c>
      <c r="D73" t="s">
        <v>57</v>
      </c>
      <c r="E73">
        <v>2035</v>
      </c>
      <c r="F73">
        <v>520.9</v>
      </c>
      <c r="G73">
        <v>66</v>
      </c>
      <c r="H73">
        <v>1974.6</v>
      </c>
      <c r="I73">
        <v>231.1</v>
      </c>
      <c r="J73">
        <v>87.5</v>
      </c>
      <c r="K73">
        <v>928.62</v>
      </c>
      <c r="L73">
        <v>20</v>
      </c>
      <c r="M73" t="s">
        <v>27</v>
      </c>
      <c r="N73" t="s">
        <v>26</v>
      </c>
      <c r="O73" t="s">
        <v>34</v>
      </c>
      <c r="P73" t="s">
        <v>52</v>
      </c>
      <c r="Q73" t="s">
        <v>65</v>
      </c>
      <c r="R73">
        <v>7.7</v>
      </c>
      <c r="S73">
        <v>-238.8</v>
      </c>
      <c r="T73">
        <v>13.7</v>
      </c>
      <c r="U73">
        <v>472</v>
      </c>
      <c r="V73">
        <v>2</v>
      </c>
    </row>
    <row r="74" spans="1:22" x14ac:dyDescent="0.35">
      <c r="A74" t="s">
        <v>189</v>
      </c>
      <c r="B74" t="s">
        <v>190</v>
      </c>
      <c r="C74" t="s">
        <v>120</v>
      </c>
      <c r="D74" t="s">
        <v>40</v>
      </c>
      <c r="E74">
        <v>2028</v>
      </c>
      <c r="F74">
        <v>239</v>
      </c>
      <c r="G74">
        <v>52.4</v>
      </c>
      <c r="H74">
        <v>1161.5</v>
      </c>
      <c r="I74">
        <v>75.099999999999994</v>
      </c>
      <c r="J74">
        <v>70.8</v>
      </c>
      <c r="K74">
        <v>329.21</v>
      </c>
      <c r="L74">
        <v>25</v>
      </c>
      <c r="M74" t="s">
        <v>27</v>
      </c>
      <c r="N74" t="s">
        <v>26</v>
      </c>
      <c r="O74" t="s">
        <v>27</v>
      </c>
      <c r="P74" t="s">
        <v>52</v>
      </c>
      <c r="Q74" t="s">
        <v>29</v>
      </c>
      <c r="R74">
        <v>0</v>
      </c>
      <c r="S74">
        <v>-1095.5</v>
      </c>
      <c r="T74">
        <v>265</v>
      </c>
      <c r="U74">
        <v>190</v>
      </c>
      <c r="V74">
        <v>10</v>
      </c>
    </row>
    <row r="75" spans="1:22" x14ac:dyDescent="0.35">
      <c r="A75" t="s">
        <v>191</v>
      </c>
      <c r="B75" t="s">
        <v>192</v>
      </c>
      <c r="C75" t="s">
        <v>97</v>
      </c>
      <c r="D75" t="s">
        <v>25</v>
      </c>
      <c r="E75">
        <v>2033</v>
      </c>
      <c r="F75">
        <v>51.1</v>
      </c>
      <c r="G75">
        <v>26.3</v>
      </c>
      <c r="H75">
        <v>283.7</v>
      </c>
      <c r="I75">
        <v>34.5</v>
      </c>
      <c r="J75">
        <v>5.6</v>
      </c>
      <c r="K75">
        <v>16.329999999999998</v>
      </c>
      <c r="L75">
        <v>19</v>
      </c>
      <c r="M75" t="s">
        <v>27</v>
      </c>
      <c r="N75" t="s">
        <v>27</v>
      </c>
      <c r="O75" t="s">
        <v>27</v>
      </c>
      <c r="P75" t="s">
        <v>28</v>
      </c>
      <c r="Q75" t="s">
        <v>65</v>
      </c>
      <c r="R75">
        <v>10.5</v>
      </c>
      <c r="S75">
        <v>53.7</v>
      </c>
      <c r="T75">
        <v>9.8000000000000007</v>
      </c>
      <c r="U75">
        <v>70</v>
      </c>
      <c r="V75">
        <v>7</v>
      </c>
    </row>
    <row r="76" spans="1:22" x14ac:dyDescent="0.35">
      <c r="A76" t="s">
        <v>193</v>
      </c>
      <c r="B76" t="s">
        <v>194</v>
      </c>
      <c r="C76" t="s">
        <v>62</v>
      </c>
      <c r="D76" t="s">
        <v>46</v>
      </c>
      <c r="E76">
        <v>2028</v>
      </c>
      <c r="F76">
        <v>139.30000000000001</v>
      </c>
      <c r="G76">
        <v>15.5</v>
      </c>
      <c r="H76">
        <v>393.2</v>
      </c>
      <c r="I76">
        <v>63.8</v>
      </c>
      <c r="J76">
        <v>9.5</v>
      </c>
      <c r="K76">
        <v>62.69</v>
      </c>
      <c r="L76">
        <v>29</v>
      </c>
      <c r="M76" t="s">
        <v>27</v>
      </c>
      <c r="N76" t="s">
        <v>27</v>
      </c>
      <c r="O76" t="s">
        <v>26</v>
      </c>
      <c r="P76" t="s">
        <v>35</v>
      </c>
      <c r="Q76" t="s">
        <v>65</v>
      </c>
      <c r="R76">
        <v>14.3</v>
      </c>
      <c r="S76">
        <v>579.5</v>
      </c>
      <c r="T76">
        <v>7.2</v>
      </c>
      <c r="U76">
        <v>88</v>
      </c>
      <c r="V76">
        <v>4</v>
      </c>
    </row>
    <row r="77" spans="1:22" x14ac:dyDescent="0.35">
      <c r="A77" t="s">
        <v>195</v>
      </c>
      <c r="B77" t="s">
        <v>196</v>
      </c>
      <c r="C77" t="s">
        <v>62</v>
      </c>
      <c r="D77" t="s">
        <v>78</v>
      </c>
      <c r="E77">
        <v>2030</v>
      </c>
      <c r="F77">
        <v>75</v>
      </c>
      <c r="G77">
        <v>21.2</v>
      </c>
      <c r="H77">
        <v>390</v>
      </c>
      <c r="I77">
        <v>30</v>
      </c>
      <c r="J77">
        <v>6.8</v>
      </c>
      <c r="K77">
        <v>45.83</v>
      </c>
      <c r="L77">
        <v>30</v>
      </c>
      <c r="M77" t="s">
        <v>27</v>
      </c>
      <c r="N77" t="s">
        <v>26</v>
      </c>
      <c r="O77" t="s">
        <v>26</v>
      </c>
      <c r="P77" t="s">
        <v>52</v>
      </c>
      <c r="Q77" t="s">
        <v>29</v>
      </c>
      <c r="R77">
        <v>5.2</v>
      </c>
      <c r="S77">
        <v>117.5</v>
      </c>
      <c r="T77">
        <v>16.8</v>
      </c>
      <c r="U77">
        <v>112</v>
      </c>
      <c r="V77">
        <v>2</v>
      </c>
    </row>
    <row r="78" spans="1:22" x14ac:dyDescent="0.35">
      <c r="A78" t="s">
        <v>197</v>
      </c>
      <c r="B78" t="s">
        <v>198</v>
      </c>
      <c r="C78" t="s">
        <v>120</v>
      </c>
      <c r="D78" t="s">
        <v>40</v>
      </c>
      <c r="E78">
        <v>2030</v>
      </c>
      <c r="F78">
        <v>514</v>
      </c>
      <c r="G78">
        <v>64.5</v>
      </c>
      <c r="H78">
        <v>1608</v>
      </c>
      <c r="I78">
        <v>106.8</v>
      </c>
      <c r="J78">
        <v>95.8</v>
      </c>
      <c r="K78">
        <v>1716.65</v>
      </c>
      <c r="L78">
        <v>18</v>
      </c>
      <c r="M78" t="s">
        <v>27</v>
      </c>
      <c r="N78" t="s">
        <v>26</v>
      </c>
      <c r="O78" t="s">
        <v>26</v>
      </c>
      <c r="P78" t="s">
        <v>52</v>
      </c>
      <c r="Q78" t="s">
        <v>65</v>
      </c>
      <c r="R78">
        <v>0.8</v>
      </c>
      <c r="S78">
        <v>-1488.3</v>
      </c>
      <c r="T78">
        <v>145.6</v>
      </c>
      <c r="U78">
        <v>578</v>
      </c>
      <c r="V78">
        <v>2</v>
      </c>
    </row>
    <row r="79" spans="1:22" x14ac:dyDescent="0.35">
      <c r="A79" t="s">
        <v>199</v>
      </c>
      <c r="B79" t="s">
        <v>200</v>
      </c>
      <c r="C79" t="s">
        <v>97</v>
      </c>
      <c r="D79" t="s">
        <v>25</v>
      </c>
      <c r="E79">
        <v>2034</v>
      </c>
      <c r="F79">
        <v>120.4</v>
      </c>
      <c r="G79">
        <v>31.3</v>
      </c>
      <c r="H79">
        <v>307.39999999999998</v>
      </c>
      <c r="I79">
        <v>43.3</v>
      </c>
      <c r="J79">
        <v>5</v>
      </c>
      <c r="K79">
        <v>48.95</v>
      </c>
      <c r="L79">
        <v>20</v>
      </c>
      <c r="M79" t="s">
        <v>27</v>
      </c>
      <c r="N79" t="s">
        <v>26</v>
      </c>
      <c r="O79" t="s">
        <v>26</v>
      </c>
      <c r="P79" t="s">
        <v>28</v>
      </c>
      <c r="Q79" t="s">
        <v>47</v>
      </c>
      <c r="R79">
        <v>13</v>
      </c>
      <c r="S79">
        <v>244.7</v>
      </c>
      <c r="T79">
        <v>8</v>
      </c>
      <c r="U79">
        <v>149</v>
      </c>
      <c r="V79">
        <v>2</v>
      </c>
    </row>
    <row r="80" spans="1:22" x14ac:dyDescent="0.35">
      <c r="A80" t="s">
        <v>201</v>
      </c>
      <c r="B80" t="s">
        <v>202</v>
      </c>
      <c r="C80" t="s">
        <v>39</v>
      </c>
      <c r="D80" t="s">
        <v>46</v>
      </c>
      <c r="E80">
        <v>2035</v>
      </c>
      <c r="F80">
        <v>255.1</v>
      </c>
      <c r="G80">
        <v>56.4</v>
      </c>
      <c r="H80">
        <v>942.9</v>
      </c>
      <c r="I80">
        <v>85.6</v>
      </c>
      <c r="J80">
        <v>38.5</v>
      </c>
      <c r="K80">
        <v>144.44999999999999</v>
      </c>
      <c r="L80">
        <v>21</v>
      </c>
      <c r="M80" t="s">
        <v>26</v>
      </c>
      <c r="N80" t="s">
        <v>26</v>
      </c>
      <c r="O80" t="s">
        <v>27</v>
      </c>
      <c r="P80" t="s">
        <v>28</v>
      </c>
      <c r="Q80" t="s">
        <v>65</v>
      </c>
      <c r="R80">
        <v>4.8</v>
      </c>
      <c r="S80">
        <v>-233.1</v>
      </c>
      <c r="T80">
        <v>20</v>
      </c>
      <c r="U80">
        <v>132</v>
      </c>
      <c r="V80">
        <v>5</v>
      </c>
    </row>
    <row r="81" spans="1:22" x14ac:dyDescent="0.35">
      <c r="A81" t="s">
        <v>203</v>
      </c>
      <c r="B81" t="s">
        <v>204</v>
      </c>
      <c r="C81" t="s">
        <v>62</v>
      </c>
      <c r="D81" t="s">
        <v>33</v>
      </c>
      <c r="E81">
        <v>2030</v>
      </c>
      <c r="F81">
        <v>248</v>
      </c>
      <c r="G81">
        <v>23.1</v>
      </c>
      <c r="H81">
        <v>554.5</v>
      </c>
      <c r="I81">
        <v>62.7</v>
      </c>
      <c r="J81">
        <v>10</v>
      </c>
      <c r="K81">
        <v>106.69</v>
      </c>
      <c r="L81">
        <v>25</v>
      </c>
      <c r="M81" t="s">
        <v>34</v>
      </c>
      <c r="N81" t="s">
        <v>26</v>
      </c>
      <c r="O81" t="s">
        <v>27</v>
      </c>
      <c r="P81" t="s">
        <v>35</v>
      </c>
      <c r="Q81" t="s">
        <v>36</v>
      </c>
      <c r="R81">
        <v>8.6999999999999993</v>
      </c>
      <c r="S81">
        <v>408.9</v>
      </c>
      <c r="T81">
        <v>10.5</v>
      </c>
      <c r="U81">
        <v>117</v>
      </c>
      <c r="V81">
        <v>7</v>
      </c>
    </row>
    <row r="82" spans="1:22" x14ac:dyDescent="0.35">
      <c r="A82" t="s">
        <v>205</v>
      </c>
      <c r="B82" t="s">
        <v>206</v>
      </c>
      <c r="C82" t="s">
        <v>97</v>
      </c>
      <c r="D82" t="s">
        <v>33</v>
      </c>
      <c r="E82">
        <v>2032</v>
      </c>
      <c r="F82">
        <v>18.5</v>
      </c>
      <c r="G82">
        <v>53.9</v>
      </c>
      <c r="H82">
        <v>365.1</v>
      </c>
      <c r="I82">
        <v>38</v>
      </c>
      <c r="J82">
        <v>9</v>
      </c>
      <c r="K82">
        <v>24.83</v>
      </c>
      <c r="L82">
        <v>18</v>
      </c>
      <c r="M82" t="s">
        <v>26</v>
      </c>
      <c r="N82" t="s">
        <v>26</v>
      </c>
      <c r="O82" t="s">
        <v>26</v>
      </c>
      <c r="P82" t="s">
        <v>35</v>
      </c>
      <c r="Q82" t="s">
        <v>47</v>
      </c>
      <c r="R82">
        <v>8</v>
      </c>
      <c r="S82">
        <v>31.3</v>
      </c>
      <c r="T82">
        <v>12.6</v>
      </c>
      <c r="U82">
        <v>10</v>
      </c>
      <c r="V82">
        <v>5</v>
      </c>
    </row>
    <row r="83" spans="1:22" x14ac:dyDescent="0.35">
      <c r="A83" t="s">
        <v>207</v>
      </c>
      <c r="B83" t="s">
        <v>208</v>
      </c>
      <c r="C83" t="s">
        <v>97</v>
      </c>
      <c r="D83" t="s">
        <v>40</v>
      </c>
      <c r="E83">
        <v>2027</v>
      </c>
      <c r="F83">
        <v>5.2</v>
      </c>
      <c r="G83">
        <v>40.1</v>
      </c>
      <c r="H83">
        <v>144.80000000000001</v>
      </c>
      <c r="I83">
        <v>14.8</v>
      </c>
      <c r="J83">
        <v>3.7</v>
      </c>
      <c r="K83">
        <v>4.18</v>
      </c>
      <c r="L83">
        <v>17</v>
      </c>
      <c r="M83" t="s">
        <v>27</v>
      </c>
      <c r="N83" t="s">
        <v>26</v>
      </c>
      <c r="O83" t="s">
        <v>34</v>
      </c>
      <c r="P83" t="s">
        <v>52</v>
      </c>
      <c r="Q83" t="s">
        <v>65</v>
      </c>
      <c r="R83">
        <v>6.8</v>
      </c>
      <c r="S83">
        <v>-20.5</v>
      </c>
      <c r="T83">
        <v>13</v>
      </c>
      <c r="U83">
        <v>10</v>
      </c>
      <c r="V83">
        <v>1</v>
      </c>
    </row>
    <row r="84" spans="1:22" x14ac:dyDescent="0.35">
      <c r="A84" t="s">
        <v>209</v>
      </c>
      <c r="B84" t="s">
        <v>210</v>
      </c>
      <c r="C84" t="s">
        <v>62</v>
      </c>
      <c r="D84" t="s">
        <v>40</v>
      </c>
      <c r="E84">
        <v>2035</v>
      </c>
      <c r="F84">
        <v>415</v>
      </c>
      <c r="G84">
        <v>14.3</v>
      </c>
      <c r="H84">
        <v>90.6</v>
      </c>
      <c r="I84">
        <v>14.5</v>
      </c>
      <c r="J84">
        <v>2</v>
      </c>
      <c r="K84">
        <v>184.15</v>
      </c>
      <c r="L84">
        <v>26</v>
      </c>
      <c r="M84" t="s">
        <v>27</v>
      </c>
      <c r="N84" t="s">
        <v>27</v>
      </c>
      <c r="O84" t="s">
        <v>26</v>
      </c>
      <c r="P84" t="s">
        <v>35</v>
      </c>
      <c r="Q84" t="s">
        <v>36</v>
      </c>
      <c r="R84">
        <v>14.6</v>
      </c>
      <c r="S84">
        <v>110.4</v>
      </c>
      <c r="T84">
        <v>7.3</v>
      </c>
      <c r="U84">
        <v>475</v>
      </c>
      <c r="V84">
        <v>10</v>
      </c>
    </row>
    <row r="85" spans="1:22" x14ac:dyDescent="0.35">
      <c r="A85" t="s">
        <v>211</v>
      </c>
      <c r="B85" t="s">
        <v>212</v>
      </c>
      <c r="C85" t="s">
        <v>120</v>
      </c>
      <c r="D85" t="s">
        <v>57</v>
      </c>
      <c r="E85">
        <v>2035</v>
      </c>
      <c r="F85">
        <v>623.79999999999995</v>
      </c>
      <c r="G85">
        <v>61.8</v>
      </c>
      <c r="H85">
        <v>2377.6999999999998</v>
      </c>
      <c r="I85">
        <v>393.9</v>
      </c>
      <c r="J85">
        <v>136.19999999999999</v>
      </c>
      <c r="K85">
        <v>1919.94</v>
      </c>
      <c r="L85">
        <v>21</v>
      </c>
      <c r="M85" t="s">
        <v>26</v>
      </c>
      <c r="N85" t="s">
        <v>26</v>
      </c>
      <c r="O85" t="s">
        <v>27</v>
      </c>
      <c r="P85" t="s">
        <v>35</v>
      </c>
      <c r="Q85" t="s">
        <v>29</v>
      </c>
      <c r="R85">
        <v>11.5</v>
      </c>
      <c r="S85">
        <v>1137.5</v>
      </c>
      <c r="T85">
        <v>9.1999999999999993</v>
      </c>
      <c r="U85">
        <v>750</v>
      </c>
      <c r="V85">
        <v>5</v>
      </c>
    </row>
    <row r="86" spans="1:22" x14ac:dyDescent="0.35">
      <c r="A86" t="s">
        <v>213</v>
      </c>
      <c r="B86" t="s">
        <v>214</v>
      </c>
      <c r="C86" t="s">
        <v>24</v>
      </c>
      <c r="D86" t="s">
        <v>40</v>
      </c>
      <c r="E86">
        <v>2028</v>
      </c>
      <c r="F86">
        <v>495.7</v>
      </c>
      <c r="G86">
        <v>50.8</v>
      </c>
      <c r="H86">
        <v>1229.5</v>
      </c>
      <c r="I86">
        <v>199.5</v>
      </c>
      <c r="J86">
        <v>53.6</v>
      </c>
      <c r="K86">
        <v>974.69</v>
      </c>
      <c r="L86">
        <v>29</v>
      </c>
      <c r="M86" t="s">
        <v>27</v>
      </c>
      <c r="N86" t="s">
        <v>34</v>
      </c>
      <c r="O86" t="s">
        <v>26</v>
      </c>
      <c r="P86" t="s">
        <v>28</v>
      </c>
      <c r="Q86" t="s">
        <v>47</v>
      </c>
      <c r="R86">
        <v>10.7</v>
      </c>
      <c r="S86">
        <v>1579</v>
      </c>
      <c r="T86">
        <v>8.4</v>
      </c>
      <c r="U86">
        <v>689</v>
      </c>
      <c r="V86">
        <v>4</v>
      </c>
    </row>
    <row r="87" spans="1:22" x14ac:dyDescent="0.35">
      <c r="A87" t="s">
        <v>215</v>
      </c>
      <c r="B87" t="s">
        <v>216</v>
      </c>
      <c r="C87" t="s">
        <v>39</v>
      </c>
      <c r="D87" t="s">
        <v>78</v>
      </c>
      <c r="E87">
        <v>2029</v>
      </c>
      <c r="F87">
        <v>264.60000000000002</v>
      </c>
      <c r="G87">
        <v>59.8</v>
      </c>
      <c r="H87">
        <v>1195.0999999999999</v>
      </c>
      <c r="I87">
        <v>150.30000000000001</v>
      </c>
      <c r="J87">
        <v>45.5</v>
      </c>
      <c r="K87">
        <v>164.22</v>
      </c>
      <c r="L87">
        <v>38</v>
      </c>
      <c r="M87" t="s">
        <v>27</v>
      </c>
      <c r="N87" t="s">
        <v>34</v>
      </c>
      <c r="O87" t="s">
        <v>26</v>
      </c>
      <c r="P87" t="s">
        <v>52</v>
      </c>
      <c r="Q87" t="s">
        <v>47</v>
      </c>
      <c r="R87">
        <v>9.5</v>
      </c>
      <c r="S87">
        <v>1582.1</v>
      </c>
      <c r="T87">
        <v>11.4</v>
      </c>
      <c r="U87">
        <v>262</v>
      </c>
      <c r="V87">
        <v>8</v>
      </c>
    </row>
    <row r="88" spans="1:22" x14ac:dyDescent="0.35">
      <c r="A88" t="s">
        <v>217</v>
      </c>
      <c r="B88" t="s">
        <v>218</v>
      </c>
      <c r="C88" t="s">
        <v>97</v>
      </c>
      <c r="D88" t="s">
        <v>25</v>
      </c>
      <c r="E88">
        <v>2030</v>
      </c>
      <c r="F88">
        <v>39.700000000000003</v>
      </c>
      <c r="G88">
        <v>32.299999999999997</v>
      </c>
      <c r="H88">
        <v>80.099999999999994</v>
      </c>
      <c r="I88">
        <v>6.6</v>
      </c>
      <c r="J88">
        <v>1.6</v>
      </c>
      <c r="K88">
        <v>18.13</v>
      </c>
      <c r="L88">
        <v>20</v>
      </c>
      <c r="M88" t="s">
        <v>26</v>
      </c>
      <c r="N88" t="s">
        <v>27</v>
      </c>
      <c r="O88" t="s">
        <v>27</v>
      </c>
      <c r="P88" t="s">
        <v>35</v>
      </c>
      <c r="Q88" t="s">
        <v>36</v>
      </c>
      <c r="R88">
        <v>5.3</v>
      </c>
      <c r="S88">
        <v>-21.4</v>
      </c>
      <c r="T88">
        <v>16.3</v>
      </c>
      <c r="U88">
        <v>55</v>
      </c>
      <c r="V88">
        <v>6</v>
      </c>
    </row>
    <row r="89" spans="1:22" x14ac:dyDescent="0.35">
      <c r="A89" t="s">
        <v>219</v>
      </c>
      <c r="B89" t="s">
        <v>220</v>
      </c>
      <c r="C89" t="s">
        <v>120</v>
      </c>
      <c r="D89" t="s">
        <v>46</v>
      </c>
      <c r="E89">
        <v>2034</v>
      </c>
      <c r="F89">
        <v>282.5</v>
      </c>
      <c r="G89">
        <v>48.7</v>
      </c>
      <c r="H89">
        <v>1385.5</v>
      </c>
      <c r="I89">
        <v>171.4</v>
      </c>
      <c r="J89">
        <v>79.900000000000006</v>
      </c>
      <c r="K89">
        <v>583.66</v>
      </c>
      <c r="L89">
        <v>22</v>
      </c>
      <c r="M89" t="s">
        <v>26</v>
      </c>
      <c r="N89" t="s">
        <v>26</v>
      </c>
      <c r="O89" t="s">
        <v>26</v>
      </c>
      <c r="P89" t="s">
        <v>52</v>
      </c>
      <c r="Q89" t="s">
        <v>65</v>
      </c>
      <c r="R89">
        <v>7.2</v>
      </c>
      <c r="S89">
        <v>-189.8</v>
      </c>
      <c r="T89">
        <v>15.1</v>
      </c>
      <c r="U89">
        <v>305</v>
      </c>
      <c r="V89">
        <v>3</v>
      </c>
    </row>
    <row r="90" spans="1:22" x14ac:dyDescent="0.35">
      <c r="A90" t="s">
        <v>221</v>
      </c>
      <c r="B90" t="s">
        <v>222</v>
      </c>
      <c r="C90" t="s">
        <v>32</v>
      </c>
      <c r="D90" t="s">
        <v>78</v>
      </c>
      <c r="E90">
        <v>2029</v>
      </c>
      <c r="F90">
        <v>0.9</v>
      </c>
      <c r="G90">
        <v>86.5</v>
      </c>
      <c r="H90">
        <v>2700.4</v>
      </c>
      <c r="I90">
        <v>87.6</v>
      </c>
      <c r="J90">
        <v>128.5</v>
      </c>
      <c r="K90">
        <v>5.16</v>
      </c>
      <c r="L90">
        <v>28</v>
      </c>
      <c r="M90" t="s">
        <v>34</v>
      </c>
      <c r="N90" t="s">
        <v>34</v>
      </c>
      <c r="O90" t="s">
        <v>27</v>
      </c>
      <c r="P90" t="s">
        <v>35</v>
      </c>
      <c r="Q90" t="s">
        <v>65</v>
      </c>
      <c r="R90">
        <v>-1.4</v>
      </c>
      <c r="S90">
        <v>-3574.7</v>
      </c>
      <c r="T90">
        <v>59</v>
      </c>
      <c r="U90">
        <v>10</v>
      </c>
      <c r="V90">
        <v>2</v>
      </c>
    </row>
    <row r="91" spans="1:22" x14ac:dyDescent="0.35">
      <c r="A91" t="s">
        <v>223</v>
      </c>
      <c r="B91" t="s">
        <v>224</v>
      </c>
      <c r="C91" t="s">
        <v>97</v>
      </c>
      <c r="D91" t="s">
        <v>25</v>
      </c>
      <c r="E91">
        <v>2029</v>
      </c>
      <c r="F91">
        <v>43.2</v>
      </c>
      <c r="G91">
        <v>27</v>
      </c>
      <c r="H91">
        <v>108.7</v>
      </c>
      <c r="I91">
        <v>4.5999999999999996</v>
      </c>
      <c r="J91">
        <v>2</v>
      </c>
      <c r="K91">
        <v>23.22</v>
      </c>
      <c r="L91">
        <v>18</v>
      </c>
      <c r="M91" t="s">
        <v>27</v>
      </c>
      <c r="N91" t="s">
        <v>34</v>
      </c>
      <c r="O91" t="s">
        <v>26</v>
      </c>
      <c r="P91" t="s">
        <v>35</v>
      </c>
      <c r="Q91" t="s">
        <v>36</v>
      </c>
      <c r="R91">
        <v>1.8</v>
      </c>
      <c r="S91">
        <v>-72.7</v>
      </c>
      <c r="T91">
        <v>41.5</v>
      </c>
      <c r="U91">
        <v>32</v>
      </c>
      <c r="V91">
        <v>9</v>
      </c>
    </row>
    <row r="92" spans="1:22" x14ac:dyDescent="0.35">
      <c r="A92" t="s">
        <v>225</v>
      </c>
      <c r="B92" t="s">
        <v>226</v>
      </c>
      <c r="C92" t="s">
        <v>24</v>
      </c>
      <c r="D92" t="s">
        <v>40</v>
      </c>
      <c r="E92">
        <v>2031</v>
      </c>
      <c r="F92">
        <v>540.20000000000005</v>
      </c>
      <c r="G92">
        <v>40.200000000000003</v>
      </c>
      <c r="H92">
        <v>1039.5</v>
      </c>
      <c r="I92">
        <v>108.5</v>
      </c>
      <c r="J92">
        <v>33.5</v>
      </c>
      <c r="K92">
        <v>507.85</v>
      </c>
      <c r="L92">
        <v>27</v>
      </c>
      <c r="M92" t="s">
        <v>26</v>
      </c>
      <c r="N92" t="s">
        <v>34</v>
      </c>
      <c r="O92" t="s">
        <v>34</v>
      </c>
      <c r="P92" t="s">
        <v>35</v>
      </c>
      <c r="Q92" t="s">
        <v>47</v>
      </c>
      <c r="R92">
        <v>6.3</v>
      </c>
      <c r="S92">
        <v>286</v>
      </c>
      <c r="T92">
        <v>13.8</v>
      </c>
      <c r="U92">
        <v>743</v>
      </c>
      <c r="V92">
        <v>6</v>
      </c>
    </row>
    <row r="93" spans="1:22" x14ac:dyDescent="0.35">
      <c r="A93" t="s">
        <v>227</v>
      </c>
      <c r="B93" t="s">
        <v>228</v>
      </c>
      <c r="C93" t="s">
        <v>120</v>
      </c>
      <c r="D93" t="s">
        <v>33</v>
      </c>
      <c r="E93">
        <v>2034</v>
      </c>
      <c r="F93">
        <v>678.1</v>
      </c>
      <c r="G93">
        <v>73.099999999999994</v>
      </c>
      <c r="H93">
        <v>980.4</v>
      </c>
      <c r="I93">
        <v>86.5</v>
      </c>
      <c r="J93">
        <v>33.200000000000003</v>
      </c>
      <c r="K93">
        <v>2428.4499999999998</v>
      </c>
      <c r="L93">
        <v>22</v>
      </c>
      <c r="M93" t="s">
        <v>27</v>
      </c>
      <c r="N93" t="s">
        <v>34</v>
      </c>
      <c r="O93" t="s">
        <v>34</v>
      </c>
      <c r="P93" t="s">
        <v>35</v>
      </c>
      <c r="Q93" t="s">
        <v>65</v>
      </c>
      <c r="R93">
        <v>6.4</v>
      </c>
      <c r="S93">
        <v>-103.6</v>
      </c>
      <c r="T93">
        <v>18.399999999999999</v>
      </c>
      <c r="U93">
        <v>677</v>
      </c>
      <c r="V93">
        <v>2</v>
      </c>
    </row>
    <row r="94" spans="1:22" x14ac:dyDescent="0.35">
      <c r="A94" t="s">
        <v>229</v>
      </c>
      <c r="B94" t="s">
        <v>230</v>
      </c>
      <c r="C94" t="s">
        <v>24</v>
      </c>
      <c r="D94" t="s">
        <v>40</v>
      </c>
      <c r="E94">
        <v>2027</v>
      </c>
      <c r="F94">
        <v>644.4</v>
      </c>
      <c r="G94">
        <v>40</v>
      </c>
      <c r="H94">
        <v>3149.7</v>
      </c>
      <c r="I94">
        <v>363.2</v>
      </c>
      <c r="J94">
        <v>104.3</v>
      </c>
      <c r="K94">
        <v>1890.48</v>
      </c>
      <c r="L94">
        <v>29</v>
      </c>
      <c r="M94" t="s">
        <v>27</v>
      </c>
      <c r="N94" t="s">
        <v>26</v>
      </c>
      <c r="O94" t="s">
        <v>34</v>
      </c>
      <c r="P94" t="s">
        <v>52</v>
      </c>
      <c r="Q94" t="s">
        <v>65</v>
      </c>
      <c r="R94">
        <v>7</v>
      </c>
      <c r="S94">
        <v>1742</v>
      </c>
      <c r="T94">
        <v>12.2</v>
      </c>
      <c r="U94">
        <v>625</v>
      </c>
      <c r="V94">
        <v>8</v>
      </c>
    </row>
    <row r="95" spans="1:22" x14ac:dyDescent="0.35">
      <c r="A95" t="s">
        <v>231</v>
      </c>
      <c r="B95" t="s">
        <v>232</v>
      </c>
      <c r="C95" t="s">
        <v>24</v>
      </c>
      <c r="D95" t="s">
        <v>33</v>
      </c>
      <c r="E95">
        <v>2032</v>
      </c>
      <c r="F95">
        <v>1376.4</v>
      </c>
      <c r="G95">
        <v>51.2</v>
      </c>
      <c r="H95">
        <v>1418.7</v>
      </c>
      <c r="I95">
        <v>170.9</v>
      </c>
      <c r="J95">
        <v>55.6</v>
      </c>
      <c r="K95">
        <v>2346.73</v>
      </c>
      <c r="L95">
        <v>28</v>
      </c>
      <c r="M95" t="s">
        <v>26</v>
      </c>
      <c r="N95" t="s">
        <v>27</v>
      </c>
      <c r="O95" t="s">
        <v>34</v>
      </c>
      <c r="P95" t="s">
        <v>28</v>
      </c>
      <c r="Q95" t="s">
        <v>65</v>
      </c>
      <c r="R95">
        <v>8.9</v>
      </c>
      <c r="S95">
        <v>560</v>
      </c>
      <c r="T95">
        <v>12.3</v>
      </c>
      <c r="U95">
        <v>935</v>
      </c>
      <c r="V95">
        <v>2</v>
      </c>
    </row>
    <row r="96" spans="1:22" x14ac:dyDescent="0.35">
      <c r="A96" t="s">
        <v>233</v>
      </c>
      <c r="B96" t="s">
        <v>234</v>
      </c>
      <c r="C96" t="s">
        <v>24</v>
      </c>
      <c r="D96" t="s">
        <v>78</v>
      </c>
      <c r="E96">
        <v>2033</v>
      </c>
      <c r="F96">
        <v>1080.0999999999999</v>
      </c>
      <c r="G96">
        <v>47.3</v>
      </c>
      <c r="H96">
        <v>974.9</v>
      </c>
      <c r="I96">
        <v>122.8</v>
      </c>
      <c r="J96">
        <v>29.8</v>
      </c>
      <c r="K96">
        <v>1694.99</v>
      </c>
      <c r="L96">
        <v>30</v>
      </c>
      <c r="M96" t="s">
        <v>27</v>
      </c>
      <c r="N96" t="s">
        <v>26</v>
      </c>
      <c r="O96" t="s">
        <v>34</v>
      </c>
      <c r="P96" t="s">
        <v>35</v>
      </c>
      <c r="Q96" t="s">
        <v>47</v>
      </c>
      <c r="R96">
        <v>8.8000000000000007</v>
      </c>
      <c r="S96">
        <v>791</v>
      </c>
      <c r="T96">
        <v>10.5</v>
      </c>
      <c r="U96">
        <v>1367</v>
      </c>
      <c r="V96">
        <v>7</v>
      </c>
    </row>
    <row r="97" spans="1:22" x14ac:dyDescent="0.35">
      <c r="A97" t="s">
        <v>235</v>
      </c>
      <c r="B97" t="s">
        <v>236</v>
      </c>
      <c r="C97" t="s">
        <v>120</v>
      </c>
      <c r="D97" t="s">
        <v>57</v>
      </c>
      <c r="E97">
        <v>2031</v>
      </c>
      <c r="F97">
        <v>79.5</v>
      </c>
      <c r="G97">
        <v>52.6</v>
      </c>
      <c r="H97">
        <v>1020.6</v>
      </c>
      <c r="I97">
        <v>63</v>
      </c>
      <c r="J97">
        <v>53.2</v>
      </c>
      <c r="K97">
        <v>178.46</v>
      </c>
      <c r="L97">
        <v>25</v>
      </c>
      <c r="M97" t="s">
        <v>27</v>
      </c>
      <c r="N97" t="s">
        <v>34</v>
      </c>
      <c r="O97" t="s">
        <v>26</v>
      </c>
      <c r="P97" t="s">
        <v>52</v>
      </c>
      <c r="Q97" t="s">
        <v>36</v>
      </c>
      <c r="R97">
        <v>1.6</v>
      </c>
      <c r="S97">
        <v>-850.6</v>
      </c>
      <c r="T97">
        <v>104.4</v>
      </c>
      <c r="U97">
        <v>91</v>
      </c>
      <c r="V97">
        <v>2</v>
      </c>
    </row>
    <row r="98" spans="1:22" x14ac:dyDescent="0.35">
      <c r="A98" t="s">
        <v>237</v>
      </c>
      <c r="B98" t="s">
        <v>238</v>
      </c>
      <c r="C98" t="s">
        <v>120</v>
      </c>
      <c r="D98" t="s">
        <v>25</v>
      </c>
      <c r="E98">
        <v>2030</v>
      </c>
      <c r="F98">
        <v>130.80000000000001</v>
      </c>
      <c r="G98">
        <v>74.900000000000006</v>
      </c>
      <c r="H98">
        <v>1607.7</v>
      </c>
      <c r="I98">
        <v>17.100000000000001</v>
      </c>
      <c r="J98">
        <v>86.2</v>
      </c>
      <c r="K98">
        <v>559.51</v>
      </c>
      <c r="L98">
        <v>21</v>
      </c>
      <c r="M98" t="s">
        <v>26</v>
      </c>
      <c r="N98" t="s">
        <v>27</v>
      </c>
      <c r="O98" t="s">
        <v>34</v>
      </c>
      <c r="P98" t="s">
        <v>28</v>
      </c>
      <c r="Q98" t="s">
        <v>47</v>
      </c>
      <c r="R98">
        <v>-5.3</v>
      </c>
      <c r="S98">
        <v>-2558.6</v>
      </c>
      <c r="T98">
        <v>59.3</v>
      </c>
      <c r="U98">
        <v>195</v>
      </c>
      <c r="V98">
        <v>4</v>
      </c>
    </row>
    <row r="99" spans="1:22" x14ac:dyDescent="0.35">
      <c r="A99" t="s">
        <v>239</v>
      </c>
      <c r="B99" t="s">
        <v>240</v>
      </c>
      <c r="C99" t="s">
        <v>39</v>
      </c>
      <c r="D99" t="s">
        <v>78</v>
      </c>
      <c r="E99">
        <v>2029</v>
      </c>
      <c r="F99">
        <v>794.1</v>
      </c>
      <c r="G99">
        <v>58.5</v>
      </c>
      <c r="H99">
        <v>602.1</v>
      </c>
      <c r="I99">
        <v>84.8</v>
      </c>
      <c r="J99">
        <v>23.8</v>
      </c>
      <c r="K99">
        <v>626.5</v>
      </c>
      <c r="L99">
        <v>28</v>
      </c>
      <c r="M99" t="s">
        <v>27</v>
      </c>
      <c r="N99" t="s">
        <v>26</v>
      </c>
      <c r="O99" t="s">
        <v>34</v>
      </c>
      <c r="P99" t="s">
        <v>28</v>
      </c>
      <c r="Q99" t="s">
        <v>65</v>
      </c>
      <c r="R99">
        <v>9.3000000000000007</v>
      </c>
      <c r="S99">
        <v>564.20000000000005</v>
      </c>
      <c r="T99">
        <v>9.9</v>
      </c>
      <c r="U99">
        <v>1107</v>
      </c>
      <c r="V99">
        <v>8</v>
      </c>
    </row>
    <row r="100" spans="1:22" x14ac:dyDescent="0.35">
      <c r="A100" t="s">
        <v>241</v>
      </c>
      <c r="B100" t="s">
        <v>242</v>
      </c>
      <c r="C100" t="s">
        <v>43</v>
      </c>
      <c r="D100" t="s">
        <v>25</v>
      </c>
      <c r="E100">
        <v>2028</v>
      </c>
      <c r="F100">
        <v>211.9</v>
      </c>
      <c r="G100">
        <v>32.9</v>
      </c>
      <c r="H100">
        <v>256.3</v>
      </c>
      <c r="I100">
        <v>23.2</v>
      </c>
      <c r="J100">
        <v>7.5</v>
      </c>
      <c r="K100">
        <v>107.54</v>
      </c>
      <c r="L100">
        <v>16</v>
      </c>
      <c r="M100" t="s">
        <v>27</v>
      </c>
      <c r="N100" t="s">
        <v>27</v>
      </c>
      <c r="O100" t="s">
        <v>27</v>
      </c>
      <c r="P100" t="s">
        <v>28</v>
      </c>
      <c r="Q100" t="s">
        <v>36</v>
      </c>
      <c r="R100">
        <v>7.1</v>
      </c>
      <c r="S100">
        <v>-82.5</v>
      </c>
      <c r="T100">
        <v>16.3</v>
      </c>
      <c r="U100">
        <v>169</v>
      </c>
      <c r="V100">
        <v>7</v>
      </c>
    </row>
    <row r="101" spans="1:22" x14ac:dyDescent="0.35">
      <c r="A101" t="s">
        <v>243</v>
      </c>
      <c r="B101" t="s">
        <v>244</v>
      </c>
      <c r="C101" t="s">
        <v>43</v>
      </c>
      <c r="D101" t="s">
        <v>46</v>
      </c>
      <c r="E101">
        <v>2029</v>
      </c>
      <c r="F101">
        <v>314.8</v>
      </c>
      <c r="G101">
        <v>25.3</v>
      </c>
      <c r="H101">
        <v>260.89999999999998</v>
      </c>
      <c r="I101">
        <v>45.9</v>
      </c>
      <c r="J101">
        <v>14.1</v>
      </c>
      <c r="K101">
        <v>126.46</v>
      </c>
      <c r="L101">
        <v>13</v>
      </c>
      <c r="M101" t="s">
        <v>27</v>
      </c>
      <c r="N101" t="s">
        <v>34</v>
      </c>
      <c r="O101" t="s">
        <v>26</v>
      </c>
      <c r="P101" t="s">
        <v>28</v>
      </c>
      <c r="Q101" t="s">
        <v>65</v>
      </c>
      <c r="R101">
        <v>12.4</v>
      </c>
      <c r="S101">
        <v>61.1</v>
      </c>
      <c r="T101">
        <v>8.1999999999999993</v>
      </c>
      <c r="U101">
        <v>292</v>
      </c>
      <c r="V101">
        <v>3</v>
      </c>
    </row>
    <row r="102" spans="1:22" x14ac:dyDescent="0.35">
      <c r="A102" t="s">
        <v>245</v>
      </c>
      <c r="B102" t="s">
        <v>246</v>
      </c>
      <c r="C102" t="s">
        <v>24</v>
      </c>
      <c r="D102" t="s">
        <v>25</v>
      </c>
      <c r="E102">
        <v>2029</v>
      </c>
      <c r="F102">
        <v>340.8</v>
      </c>
      <c r="G102">
        <v>39.5</v>
      </c>
      <c r="H102">
        <v>1050.8</v>
      </c>
      <c r="I102">
        <v>125.1</v>
      </c>
      <c r="J102">
        <v>35.4</v>
      </c>
      <c r="K102">
        <v>796.69</v>
      </c>
      <c r="L102">
        <v>28</v>
      </c>
      <c r="M102" t="s">
        <v>26</v>
      </c>
      <c r="N102" t="s">
        <v>26</v>
      </c>
      <c r="O102" t="s">
        <v>27</v>
      </c>
      <c r="P102" t="s">
        <v>35</v>
      </c>
      <c r="Q102" t="s">
        <v>47</v>
      </c>
      <c r="R102">
        <v>7.9</v>
      </c>
      <c r="S102">
        <v>666.6</v>
      </c>
      <c r="T102">
        <v>11.7</v>
      </c>
      <c r="U102">
        <v>203</v>
      </c>
      <c r="V102">
        <v>2</v>
      </c>
    </row>
    <row r="103" spans="1:22" x14ac:dyDescent="0.35">
      <c r="A103" t="s">
        <v>247</v>
      </c>
      <c r="B103" t="s">
        <v>248</v>
      </c>
      <c r="C103" t="s">
        <v>120</v>
      </c>
      <c r="D103" t="s">
        <v>78</v>
      </c>
      <c r="E103">
        <v>2034</v>
      </c>
      <c r="F103">
        <v>545.20000000000005</v>
      </c>
      <c r="G103">
        <v>62.7</v>
      </c>
      <c r="H103">
        <v>2240.6999999999998</v>
      </c>
      <c r="I103">
        <v>2</v>
      </c>
      <c r="J103">
        <v>121.1</v>
      </c>
      <c r="K103">
        <v>1272.28</v>
      </c>
      <c r="L103">
        <v>17</v>
      </c>
      <c r="M103" t="s">
        <v>26</v>
      </c>
      <c r="N103" t="s">
        <v>26</v>
      </c>
      <c r="O103" t="s">
        <v>34</v>
      </c>
      <c r="P103" t="s">
        <v>35</v>
      </c>
      <c r="Q103" t="s">
        <v>65</v>
      </c>
      <c r="R103">
        <v>-9.6</v>
      </c>
      <c r="S103">
        <v>-4519.6000000000004</v>
      </c>
      <c r="T103">
        <v>46.7</v>
      </c>
      <c r="U103">
        <v>720</v>
      </c>
      <c r="V103">
        <v>4</v>
      </c>
    </row>
    <row r="104" spans="1:22" x14ac:dyDescent="0.35">
      <c r="A104" t="s">
        <v>249</v>
      </c>
      <c r="B104" t="s">
        <v>250</v>
      </c>
      <c r="C104" t="s">
        <v>120</v>
      </c>
      <c r="D104" t="s">
        <v>46</v>
      </c>
      <c r="E104">
        <v>2034</v>
      </c>
      <c r="F104">
        <v>568.70000000000005</v>
      </c>
      <c r="G104">
        <v>30.2</v>
      </c>
      <c r="H104">
        <v>1421.2</v>
      </c>
      <c r="I104">
        <v>2</v>
      </c>
      <c r="J104">
        <v>66.8</v>
      </c>
      <c r="K104">
        <v>538.59</v>
      </c>
      <c r="L104">
        <v>24</v>
      </c>
      <c r="M104" t="s">
        <v>27</v>
      </c>
      <c r="N104" t="s">
        <v>34</v>
      </c>
      <c r="O104" t="s">
        <v>27</v>
      </c>
      <c r="P104" t="s">
        <v>52</v>
      </c>
      <c r="Q104" t="s">
        <v>36</v>
      </c>
      <c r="R104">
        <v>-9.6999999999999993</v>
      </c>
      <c r="S104">
        <v>-3921.3</v>
      </c>
      <c r="T104">
        <v>28.1</v>
      </c>
      <c r="U104">
        <v>234</v>
      </c>
      <c r="V104">
        <v>4</v>
      </c>
    </row>
    <row r="105" spans="1:22" x14ac:dyDescent="0.35">
      <c r="A105" t="s">
        <v>251</v>
      </c>
      <c r="B105" t="s">
        <v>252</v>
      </c>
      <c r="C105" t="s">
        <v>97</v>
      </c>
      <c r="D105" t="s">
        <v>78</v>
      </c>
      <c r="E105">
        <v>2035</v>
      </c>
      <c r="F105">
        <v>108.5</v>
      </c>
      <c r="G105">
        <v>30.1</v>
      </c>
      <c r="H105">
        <v>380.8</v>
      </c>
      <c r="I105">
        <v>30</v>
      </c>
      <c r="J105">
        <v>10.5</v>
      </c>
      <c r="K105">
        <v>62.26</v>
      </c>
      <c r="L105">
        <v>18</v>
      </c>
      <c r="M105" t="s">
        <v>26</v>
      </c>
      <c r="N105" t="s">
        <v>26</v>
      </c>
      <c r="O105" t="s">
        <v>27</v>
      </c>
      <c r="P105" t="s">
        <v>28</v>
      </c>
      <c r="Q105" t="s">
        <v>47</v>
      </c>
      <c r="R105">
        <v>5.9</v>
      </c>
      <c r="S105">
        <v>-171.3</v>
      </c>
      <c r="T105">
        <v>19.600000000000001</v>
      </c>
      <c r="U105">
        <v>76</v>
      </c>
      <c r="V105">
        <v>9</v>
      </c>
    </row>
    <row r="106" spans="1:22" x14ac:dyDescent="0.35">
      <c r="A106" t="s">
        <v>253</v>
      </c>
      <c r="B106" t="s">
        <v>254</v>
      </c>
      <c r="C106" t="s">
        <v>120</v>
      </c>
      <c r="D106" t="s">
        <v>78</v>
      </c>
      <c r="E106">
        <v>2029</v>
      </c>
      <c r="F106">
        <v>20.6</v>
      </c>
      <c r="G106">
        <v>42.8</v>
      </c>
      <c r="H106">
        <v>929.9</v>
      </c>
      <c r="I106">
        <v>162.9</v>
      </c>
      <c r="J106">
        <v>60.9</v>
      </c>
      <c r="K106">
        <v>62.18</v>
      </c>
      <c r="L106">
        <v>24</v>
      </c>
      <c r="M106" t="s">
        <v>26</v>
      </c>
      <c r="N106" t="s">
        <v>27</v>
      </c>
      <c r="O106" t="s">
        <v>26</v>
      </c>
      <c r="P106" t="s">
        <v>28</v>
      </c>
      <c r="Q106" t="s">
        <v>29</v>
      </c>
      <c r="R106">
        <v>11.5</v>
      </c>
      <c r="S106">
        <v>814.2</v>
      </c>
      <c r="T106">
        <v>9.1</v>
      </c>
      <c r="U106">
        <v>16</v>
      </c>
      <c r="V106">
        <v>5</v>
      </c>
    </row>
    <row r="107" spans="1:22" x14ac:dyDescent="0.35">
      <c r="A107" t="s">
        <v>255</v>
      </c>
      <c r="B107" t="s">
        <v>256</v>
      </c>
      <c r="C107" t="s">
        <v>97</v>
      </c>
      <c r="D107" t="s">
        <v>46</v>
      </c>
      <c r="E107">
        <v>2034</v>
      </c>
      <c r="F107">
        <v>72.599999999999994</v>
      </c>
      <c r="G107">
        <v>34.9</v>
      </c>
      <c r="H107">
        <v>231.3</v>
      </c>
      <c r="I107">
        <v>36.799999999999997</v>
      </c>
      <c r="J107">
        <v>9.1999999999999993</v>
      </c>
      <c r="K107">
        <v>24.04</v>
      </c>
      <c r="L107">
        <v>17</v>
      </c>
      <c r="M107" t="s">
        <v>34</v>
      </c>
      <c r="N107" t="s">
        <v>26</v>
      </c>
      <c r="O107" t="s">
        <v>26</v>
      </c>
      <c r="P107" t="s">
        <v>52</v>
      </c>
      <c r="Q107" t="s">
        <v>65</v>
      </c>
      <c r="R107">
        <v>11.7</v>
      </c>
      <c r="S107">
        <v>121.2</v>
      </c>
      <c r="T107">
        <v>8.4</v>
      </c>
      <c r="U107">
        <v>112</v>
      </c>
      <c r="V107">
        <v>3</v>
      </c>
    </row>
    <row r="108" spans="1:22" x14ac:dyDescent="0.35">
      <c r="A108" t="s">
        <v>257</v>
      </c>
      <c r="B108" t="s">
        <v>258</v>
      </c>
      <c r="C108" t="s">
        <v>120</v>
      </c>
      <c r="D108" t="s">
        <v>33</v>
      </c>
      <c r="E108">
        <v>2035</v>
      </c>
      <c r="F108">
        <v>536.1</v>
      </c>
      <c r="G108">
        <v>52</v>
      </c>
      <c r="H108">
        <v>2391.1999999999998</v>
      </c>
      <c r="I108">
        <v>30.7</v>
      </c>
      <c r="J108">
        <v>80.8</v>
      </c>
      <c r="K108">
        <v>1261.95</v>
      </c>
      <c r="L108">
        <v>18</v>
      </c>
      <c r="M108" t="s">
        <v>26</v>
      </c>
      <c r="N108" t="s">
        <v>27</v>
      </c>
      <c r="O108" t="s">
        <v>27</v>
      </c>
      <c r="P108" t="s">
        <v>35</v>
      </c>
      <c r="Q108" t="s">
        <v>65</v>
      </c>
      <c r="R108">
        <v>-1.1000000000000001</v>
      </c>
      <c r="S108">
        <v>-3067.7</v>
      </c>
      <c r="T108">
        <v>23.6</v>
      </c>
      <c r="U108">
        <v>204</v>
      </c>
      <c r="V108">
        <v>4</v>
      </c>
    </row>
    <row r="109" spans="1:22" x14ac:dyDescent="0.35">
      <c r="A109" t="s">
        <v>259</v>
      </c>
      <c r="B109" t="s">
        <v>260</v>
      </c>
      <c r="C109" t="s">
        <v>32</v>
      </c>
      <c r="D109" t="s">
        <v>78</v>
      </c>
      <c r="E109">
        <v>2031</v>
      </c>
      <c r="F109">
        <v>0.8</v>
      </c>
      <c r="G109">
        <v>73.3</v>
      </c>
      <c r="H109">
        <v>1214.9000000000001</v>
      </c>
      <c r="I109">
        <v>135.19999999999999</v>
      </c>
      <c r="J109">
        <v>50.5</v>
      </c>
      <c r="K109">
        <v>1.84</v>
      </c>
      <c r="L109">
        <v>30</v>
      </c>
      <c r="M109" t="s">
        <v>27</v>
      </c>
      <c r="N109" t="s">
        <v>26</v>
      </c>
      <c r="O109" t="s">
        <v>26</v>
      </c>
      <c r="P109" t="s">
        <v>52</v>
      </c>
      <c r="Q109" t="s">
        <v>65</v>
      </c>
      <c r="R109">
        <v>6.6</v>
      </c>
      <c r="S109">
        <v>500.5</v>
      </c>
      <c r="T109">
        <v>14.3</v>
      </c>
      <c r="U109">
        <v>10</v>
      </c>
      <c r="V109">
        <v>6</v>
      </c>
    </row>
    <row r="110" spans="1:22" x14ac:dyDescent="0.35">
      <c r="A110" t="s">
        <v>261</v>
      </c>
      <c r="B110" t="s">
        <v>262</v>
      </c>
      <c r="C110" t="s">
        <v>43</v>
      </c>
      <c r="D110" t="s">
        <v>40</v>
      </c>
      <c r="E110">
        <v>2029</v>
      </c>
      <c r="F110">
        <v>377.8</v>
      </c>
      <c r="G110">
        <v>17.2</v>
      </c>
      <c r="H110">
        <v>886.2</v>
      </c>
      <c r="I110">
        <v>111.5</v>
      </c>
      <c r="J110">
        <v>23.7</v>
      </c>
      <c r="K110">
        <v>86.88</v>
      </c>
      <c r="L110">
        <v>17</v>
      </c>
      <c r="M110" t="s">
        <v>27</v>
      </c>
      <c r="N110" t="s">
        <v>26</v>
      </c>
      <c r="O110" t="s">
        <v>26</v>
      </c>
      <c r="P110" t="s">
        <v>52</v>
      </c>
      <c r="Q110" t="s">
        <v>29</v>
      </c>
      <c r="R110">
        <v>8.9</v>
      </c>
      <c r="S110">
        <v>276</v>
      </c>
      <c r="T110">
        <v>10.1</v>
      </c>
      <c r="U110">
        <v>602</v>
      </c>
      <c r="V110">
        <v>3</v>
      </c>
    </row>
    <row r="111" spans="1:22" x14ac:dyDescent="0.35">
      <c r="A111" t="s">
        <v>263</v>
      </c>
      <c r="B111" t="s">
        <v>264</v>
      </c>
      <c r="C111" t="s">
        <v>32</v>
      </c>
      <c r="D111" t="s">
        <v>33</v>
      </c>
      <c r="E111">
        <v>2030</v>
      </c>
      <c r="F111">
        <v>7</v>
      </c>
      <c r="G111">
        <v>66.2</v>
      </c>
      <c r="H111">
        <v>2240.1999999999998</v>
      </c>
      <c r="I111">
        <v>2</v>
      </c>
      <c r="J111">
        <v>176.5</v>
      </c>
      <c r="K111">
        <v>20.329999999999998</v>
      </c>
      <c r="L111">
        <v>29</v>
      </c>
      <c r="M111" t="s">
        <v>26</v>
      </c>
      <c r="N111" t="s">
        <v>26</v>
      </c>
      <c r="O111" t="s">
        <v>27</v>
      </c>
      <c r="P111" t="s">
        <v>52</v>
      </c>
      <c r="Q111" t="s">
        <v>47</v>
      </c>
      <c r="R111">
        <v>-10</v>
      </c>
      <c r="S111">
        <v>-6753.5</v>
      </c>
      <c r="T111">
        <v>31.3</v>
      </c>
      <c r="U111">
        <v>10</v>
      </c>
      <c r="V111">
        <v>6</v>
      </c>
    </row>
    <row r="112" spans="1:22" x14ac:dyDescent="0.35">
      <c r="A112" t="s">
        <v>265</v>
      </c>
      <c r="B112" t="s">
        <v>266</v>
      </c>
      <c r="C112" t="s">
        <v>120</v>
      </c>
      <c r="D112" t="s">
        <v>33</v>
      </c>
      <c r="E112">
        <v>2033</v>
      </c>
      <c r="F112">
        <v>163.80000000000001</v>
      </c>
      <c r="G112">
        <v>66.5</v>
      </c>
      <c r="H112">
        <v>1050.5999999999999</v>
      </c>
      <c r="I112">
        <v>84.7</v>
      </c>
      <c r="J112">
        <v>57.6</v>
      </c>
      <c r="K112">
        <v>558.26</v>
      </c>
      <c r="L112">
        <v>21</v>
      </c>
      <c r="M112" t="s">
        <v>27</v>
      </c>
      <c r="N112" t="s">
        <v>34</v>
      </c>
      <c r="O112" t="s">
        <v>34</v>
      </c>
      <c r="P112" t="s">
        <v>28</v>
      </c>
      <c r="Q112" t="s">
        <v>65</v>
      </c>
      <c r="R112">
        <v>3.4</v>
      </c>
      <c r="S112">
        <v>-620.1</v>
      </c>
      <c r="T112">
        <v>38.700000000000003</v>
      </c>
      <c r="U112">
        <v>96</v>
      </c>
      <c r="V112">
        <v>5</v>
      </c>
    </row>
    <row r="113" spans="1:22" x14ac:dyDescent="0.35">
      <c r="A113" t="s">
        <v>267</v>
      </c>
      <c r="B113" t="s">
        <v>268</v>
      </c>
      <c r="C113" t="s">
        <v>97</v>
      </c>
      <c r="D113" t="s">
        <v>78</v>
      </c>
      <c r="E113">
        <v>2030</v>
      </c>
      <c r="F113">
        <v>44.3</v>
      </c>
      <c r="G113">
        <v>33.799999999999997</v>
      </c>
      <c r="H113">
        <v>101.9</v>
      </c>
      <c r="I113">
        <v>6.1</v>
      </c>
      <c r="J113">
        <v>2.9</v>
      </c>
      <c r="K113">
        <v>24.51</v>
      </c>
      <c r="L113">
        <v>19</v>
      </c>
      <c r="M113" t="s">
        <v>26</v>
      </c>
      <c r="N113" t="s">
        <v>34</v>
      </c>
      <c r="O113" t="s">
        <v>26</v>
      </c>
      <c r="P113" t="s">
        <v>35</v>
      </c>
      <c r="Q113" t="s">
        <v>29</v>
      </c>
      <c r="R113">
        <v>3</v>
      </c>
      <c r="S113">
        <v>-56.9</v>
      </c>
      <c r="T113">
        <v>32.200000000000003</v>
      </c>
      <c r="U113">
        <v>28</v>
      </c>
      <c r="V113">
        <v>10</v>
      </c>
    </row>
    <row r="114" spans="1:22" x14ac:dyDescent="0.35">
      <c r="A114" t="s">
        <v>269</v>
      </c>
      <c r="B114" t="s">
        <v>270</v>
      </c>
      <c r="C114" t="s">
        <v>62</v>
      </c>
      <c r="D114" t="s">
        <v>25</v>
      </c>
      <c r="E114">
        <v>2029</v>
      </c>
      <c r="F114">
        <v>464.1</v>
      </c>
      <c r="G114">
        <v>12.1</v>
      </c>
      <c r="H114">
        <v>264.89999999999998</v>
      </c>
      <c r="I114">
        <v>2</v>
      </c>
      <c r="J114">
        <v>4.0999999999999996</v>
      </c>
      <c r="K114">
        <v>167.77</v>
      </c>
      <c r="L114">
        <v>29</v>
      </c>
      <c r="M114" t="s">
        <v>34</v>
      </c>
      <c r="N114" t="s">
        <v>34</v>
      </c>
      <c r="O114" t="s">
        <v>26</v>
      </c>
      <c r="P114" t="s">
        <v>28</v>
      </c>
      <c r="Q114" t="s">
        <v>36</v>
      </c>
      <c r="R114">
        <v>-2.2999999999999998</v>
      </c>
      <c r="S114">
        <v>-352.5</v>
      </c>
      <c r="T114">
        <v>28.2</v>
      </c>
      <c r="U114">
        <v>471</v>
      </c>
      <c r="V114">
        <v>9</v>
      </c>
    </row>
    <row r="115" spans="1:22" x14ac:dyDescent="0.35">
      <c r="A115" t="s">
        <v>271</v>
      </c>
      <c r="B115" t="s">
        <v>272</v>
      </c>
      <c r="C115" t="s">
        <v>97</v>
      </c>
      <c r="D115" t="s">
        <v>46</v>
      </c>
      <c r="E115">
        <v>2030</v>
      </c>
      <c r="F115">
        <v>135.5</v>
      </c>
      <c r="G115">
        <v>30.9</v>
      </c>
      <c r="H115">
        <v>394.3</v>
      </c>
      <c r="I115">
        <v>28.1</v>
      </c>
      <c r="J115">
        <v>14.7</v>
      </c>
      <c r="K115">
        <v>65.66</v>
      </c>
      <c r="L115">
        <v>18</v>
      </c>
      <c r="M115" t="s">
        <v>27</v>
      </c>
      <c r="N115" t="s">
        <v>27</v>
      </c>
      <c r="O115" t="s">
        <v>27</v>
      </c>
      <c r="P115" t="s">
        <v>28</v>
      </c>
      <c r="Q115" t="s">
        <v>47</v>
      </c>
      <c r="R115">
        <v>2.6</v>
      </c>
      <c r="S115">
        <v>-216.8</v>
      </c>
      <c r="T115">
        <v>29.3</v>
      </c>
      <c r="U115">
        <v>122</v>
      </c>
      <c r="V115">
        <v>10</v>
      </c>
    </row>
    <row r="116" spans="1:22" x14ac:dyDescent="0.35">
      <c r="A116" t="s">
        <v>273</v>
      </c>
      <c r="B116" t="s">
        <v>274</v>
      </c>
      <c r="C116" t="s">
        <v>24</v>
      </c>
      <c r="D116" t="s">
        <v>33</v>
      </c>
      <c r="E116">
        <v>2035</v>
      </c>
      <c r="F116">
        <v>533.4</v>
      </c>
      <c r="G116">
        <v>42.9</v>
      </c>
      <c r="H116">
        <v>2359.1</v>
      </c>
      <c r="I116">
        <v>345.8</v>
      </c>
      <c r="J116">
        <v>101.3</v>
      </c>
      <c r="K116">
        <v>701.42</v>
      </c>
      <c r="L116">
        <v>25</v>
      </c>
      <c r="M116" t="s">
        <v>27</v>
      </c>
      <c r="N116" t="s">
        <v>26</v>
      </c>
      <c r="O116" t="s">
        <v>34</v>
      </c>
      <c r="P116" t="s">
        <v>52</v>
      </c>
      <c r="Q116" t="s">
        <v>36</v>
      </c>
      <c r="R116">
        <v>11.3</v>
      </c>
      <c r="S116">
        <v>1662.5</v>
      </c>
      <c r="T116">
        <v>9.6</v>
      </c>
      <c r="U116">
        <v>312</v>
      </c>
      <c r="V116">
        <v>3</v>
      </c>
    </row>
    <row r="117" spans="1:22" x14ac:dyDescent="0.35">
      <c r="A117" t="s">
        <v>275</v>
      </c>
      <c r="B117" t="s">
        <v>276</v>
      </c>
      <c r="C117" t="s">
        <v>120</v>
      </c>
      <c r="D117" t="s">
        <v>40</v>
      </c>
      <c r="E117">
        <v>2034</v>
      </c>
      <c r="F117">
        <v>206.9</v>
      </c>
      <c r="G117">
        <v>53.1</v>
      </c>
      <c r="H117">
        <v>1588.8</v>
      </c>
      <c r="I117">
        <v>195.6</v>
      </c>
      <c r="J117">
        <v>93.4</v>
      </c>
      <c r="K117">
        <v>487.37</v>
      </c>
      <c r="L117">
        <v>23</v>
      </c>
      <c r="M117" t="s">
        <v>26</v>
      </c>
      <c r="N117" t="s">
        <v>34</v>
      </c>
      <c r="O117" t="s">
        <v>26</v>
      </c>
      <c r="P117" t="s">
        <v>35</v>
      </c>
      <c r="Q117" t="s">
        <v>36</v>
      </c>
      <c r="R117">
        <v>5.9</v>
      </c>
      <c r="S117">
        <v>183.7</v>
      </c>
      <c r="T117">
        <v>15.6</v>
      </c>
      <c r="U117">
        <v>191</v>
      </c>
      <c r="V117">
        <v>7</v>
      </c>
    </row>
    <row r="118" spans="1:22" x14ac:dyDescent="0.35">
      <c r="A118" t="s">
        <v>277</v>
      </c>
      <c r="B118" t="s">
        <v>278</v>
      </c>
      <c r="C118" t="s">
        <v>62</v>
      </c>
      <c r="D118" t="s">
        <v>40</v>
      </c>
      <c r="E118">
        <v>2034</v>
      </c>
      <c r="F118">
        <v>159.5</v>
      </c>
      <c r="G118">
        <v>14.7</v>
      </c>
      <c r="H118">
        <v>298.39999999999998</v>
      </c>
      <c r="I118">
        <v>49.7</v>
      </c>
      <c r="J118">
        <v>6.4</v>
      </c>
      <c r="K118">
        <v>72.7</v>
      </c>
      <c r="L118">
        <v>25</v>
      </c>
      <c r="M118" t="s">
        <v>26</v>
      </c>
      <c r="N118" t="s">
        <v>26</v>
      </c>
      <c r="O118" t="s">
        <v>34</v>
      </c>
      <c r="P118" t="s">
        <v>28</v>
      </c>
      <c r="Q118" t="s">
        <v>47</v>
      </c>
      <c r="R118">
        <v>14.9</v>
      </c>
      <c r="S118">
        <v>403.7</v>
      </c>
      <c r="T118">
        <v>6.9</v>
      </c>
      <c r="U118">
        <v>97</v>
      </c>
      <c r="V118">
        <v>3</v>
      </c>
    </row>
    <row r="119" spans="1:22" x14ac:dyDescent="0.35">
      <c r="A119" t="s">
        <v>279</v>
      </c>
      <c r="B119" t="s">
        <v>280</v>
      </c>
      <c r="C119" t="s">
        <v>62</v>
      </c>
      <c r="D119" t="s">
        <v>33</v>
      </c>
      <c r="E119">
        <v>2034</v>
      </c>
      <c r="F119">
        <v>332.9</v>
      </c>
      <c r="G119">
        <v>23.6</v>
      </c>
      <c r="H119">
        <v>200</v>
      </c>
      <c r="I119">
        <v>28.9</v>
      </c>
      <c r="J119">
        <v>3.8</v>
      </c>
      <c r="K119">
        <v>145.13</v>
      </c>
      <c r="L119">
        <v>26</v>
      </c>
      <c r="M119" t="s">
        <v>27</v>
      </c>
      <c r="N119" t="s">
        <v>27</v>
      </c>
      <c r="O119" t="s">
        <v>26</v>
      </c>
      <c r="P119" t="s">
        <v>52</v>
      </c>
      <c r="Q119" t="s">
        <v>29</v>
      </c>
      <c r="R119">
        <v>12</v>
      </c>
      <c r="S119">
        <v>245.7</v>
      </c>
      <c r="T119">
        <v>8</v>
      </c>
      <c r="U119">
        <v>403</v>
      </c>
      <c r="V119">
        <v>6</v>
      </c>
    </row>
    <row r="120" spans="1:22" x14ac:dyDescent="0.35">
      <c r="A120" t="s">
        <v>281</v>
      </c>
      <c r="B120" t="s">
        <v>282</v>
      </c>
      <c r="C120" t="s">
        <v>39</v>
      </c>
      <c r="D120" t="s">
        <v>46</v>
      </c>
      <c r="E120">
        <v>2035</v>
      </c>
      <c r="F120">
        <v>891.1</v>
      </c>
      <c r="G120">
        <v>43.8</v>
      </c>
      <c r="H120">
        <v>177.7</v>
      </c>
      <c r="I120">
        <v>24.1</v>
      </c>
      <c r="J120">
        <v>9.6</v>
      </c>
      <c r="K120">
        <v>199.2</v>
      </c>
      <c r="L120">
        <v>28</v>
      </c>
      <c r="M120" t="s">
        <v>26</v>
      </c>
      <c r="N120" t="s">
        <v>27</v>
      </c>
      <c r="O120" t="s">
        <v>34</v>
      </c>
      <c r="P120" t="s">
        <v>52</v>
      </c>
      <c r="Q120" t="s">
        <v>65</v>
      </c>
      <c r="R120">
        <v>7.1</v>
      </c>
      <c r="S120">
        <v>120.4</v>
      </c>
      <c r="T120">
        <v>12.2</v>
      </c>
      <c r="U120">
        <v>982</v>
      </c>
      <c r="V120">
        <v>7</v>
      </c>
    </row>
    <row r="121" spans="1:22" x14ac:dyDescent="0.35">
      <c r="A121" t="s">
        <v>283</v>
      </c>
      <c r="B121" t="s">
        <v>284</v>
      </c>
      <c r="C121" t="s">
        <v>97</v>
      </c>
      <c r="D121" t="s">
        <v>25</v>
      </c>
      <c r="E121">
        <v>2030</v>
      </c>
      <c r="F121">
        <v>149.9</v>
      </c>
      <c r="G121">
        <v>37.700000000000003</v>
      </c>
      <c r="H121">
        <v>179.1</v>
      </c>
      <c r="I121">
        <v>18.600000000000001</v>
      </c>
      <c r="J121">
        <v>6.2</v>
      </c>
      <c r="K121">
        <v>120.71</v>
      </c>
      <c r="L121">
        <v>18</v>
      </c>
      <c r="M121" t="s">
        <v>27</v>
      </c>
      <c r="N121" t="s">
        <v>27</v>
      </c>
      <c r="O121" t="s">
        <v>26</v>
      </c>
      <c r="P121" t="s">
        <v>52</v>
      </c>
      <c r="Q121" t="s">
        <v>65</v>
      </c>
      <c r="R121">
        <v>6.1</v>
      </c>
      <c r="S121">
        <v>-16.3</v>
      </c>
      <c r="T121">
        <v>14.4</v>
      </c>
      <c r="U121">
        <v>140</v>
      </c>
      <c r="V121">
        <v>8</v>
      </c>
    </row>
    <row r="122" spans="1:22" x14ac:dyDescent="0.35">
      <c r="A122" t="s">
        <v>285</v>
      </c>
      <c r="B122" t="s">
        <v>286</v>
      </c>
      <c r="C122" t="s">
        <v>39</v>
      </c>
      <c r="D122" t="s">
        <v>57</v>
      </c>
      <c r="E122">
        <v>2032</v>
      </c>
      <c r="F122">
        <v>462.4</v>
      </c>
      <c r="G122">
        <v>50.5</v>
      </c>
      <c r="H122">
        <v>1299.0999999999999</v>
      </c>
      <c r="I122">
        <v>79.3</v>
      </c>
      <c r="J122">
        <v>47.9</v>
      </c>
      <c r="K122">
        <v>163.68</v>
      </c>
      <c r="L122">
        <v>40</v>
      </c>
      <c r="M122" t="s">
        <v>27</v>
      </c>
      <c r="N122" t="s">
        <v>34</v>
      </c>
      <c r="O122" t="s">
        <v>27</v>
      </c>
      <c r="P122" t="s">
        <v>35</v>
      </c>
      <c r="Q122" t="s">
        <v>65</v>
      </c>
      <c r="R122">
        <v>2</v>
      </c>
      <c r="S122">
        <v>-452.8</v>
      </c>
      <c r="T122">
        <v>41.5</v>
      </c>
      <c r="U122">
        <v>542</v>
      </c>
      <c r="V122">
        <v>5</v>
      </c>
    </row>
    <row r="123" spans="1:22" x14ac:dyDescent="0.35">
      <c r="A123" t="s">
        <v>287</v>
      </c>
      <c r="B123" t="s">
        <v>288</v>
      </c>
      <c r="C123" t="s">
        <v>32</v>
      </c>
      <c r="D123" t="s">
        <v>57</v>
      </c>
      <c r="E123">
        <v>2031</v>
      </c>
      <c r="F123">
        <v>3.5</v>
      </c>
      <c r="G123">
        <v>75.400000000000006</v>
      </c>
      <c r="H123">
        <v>701.7</v>
      </c>
      <c r="I123">
        <v>73.8</v>
      </c>
      <c r="J123">
        <v>46.8</v>
      </c>
      <c r="K123">
        <v>11.66</v>
      </c>
      <c r="L123">
        <v>27</v>
      </c>
      <c r="M123" t="s">
        <v>26</v>
      </c>
      <c r="N123" t="s">
        <v>26</v>
      </c>
      <c r="O123" t="s">
        <v>26</v>
      </c>
      <c r="P123" t="s">
        <v>28</v>
      </c>
      <c r="Q123" t="s">
        <v>36</v>
      </c>
      <c r="R123">
        <v>3.1</v>
      </c>
      <c r="S123">
        <v>-262</v>
      </c>
      <c r="T123">
        <v>25.9</v>
      </c>
      <c r="U123">
        <v>10</v>
      </c>
      <c r="V123">
        <v>6</v>
      </c>
    </row>
    <row r="124" spans="1:22" x14ac:dyDescent="0.35">
      <c r="A124" t="s">
        <v>289</v>
      </c>
      <c r="B124" t="s">
        <v>290</v>
      </c>
      <c r="C124" t="s">
        <v>24</v>
      </c>
      <c r="D124" t="s">
        <v>57</v>
      </c>
      <c r="E124">
        <v>2032</v>
      </c>
      <c r="F124">
        <v>1219.2</v>
      </c>
      <c r="G124">
        <v>42.2</v>
      </c>
      <c r="H124">
        <v>1398.2</v>
      </c>
      <c r="I124">
        <v>173.1</v>
      </c>
      <c r="J124">
        <v>62.1</v>
      </c>
      <c r="K124">
        <v>1272.4100000000001</v>
      </c>
      <c r="L124">
        <v>29</v>
      </c>
      <c r="M124" t="s">
        <v>26</v>
      </c>
      <c r="N124" t="s">
        <v>34</v>
      </c>
      <c r="O124" t="s">
        <v>26</v>
      </c>
      <c r="P124" t="s">
        <v>52</v>
      </c>
      <c r="Q124" t="s">
        <v>29</v>
      </c>
      <c r="R124">
        <v>9</v>
      </c>
      <c r="S124">
        <v>1076.2</v>
      </c>
      <c r="T124">
        <v>12.6</v>
      </c>
      <c r="U124">
        <v>972</v>
      </c>
      <c r="V124">
        <v>1</v>
      </c>
    </row>
    <row r="125" spans="1:22" x14ac:dyDescent="0.35">
      <c r="A125" t="s">
        <v>291</v>
      </c>
      <c r="B125" t="s">
        <v>292</v>
      </c>
      <c r="C125" t="s">
        <v>120</v>
      </c>
      <c r="D125" t="s">
        <v>57</v>
      </c>
      <c r="E125">
        <v>2033</v>
      </c>
      <c r="F125">
        <v>443</v>
      </c>
      <c r="G125">
        <v>31.1</v>
      </c>
      <c r="H125">
        <v>1696.7</v>
      </c>
      <c r="I125">
        <v>114.5</v>
      </c>
      <c r="J125">
        <v>63.3</v>
      </c>
      <c r="K125">
        <v>999.9</v>
      </c>
      <c r="L125">
        <v>23</v>
      </c>
      <c r="M125" t="s">
        <v>27</v>
      </c>
      <c r="N125" t="s">
        <v>27</v>
      </c>
      <c r="O125" t="s">
        <v>26</v>
      </c>
      <c r="P125" t="s">
        <v>52</v>
      </c>
      <c r="Q125" t="s">
        <v>29</v>
      </c>
      <c r="R125">
        <v>2.5</v>
      </c>
      <c r="S125">
        <v>-850.4</v>
      </c>
      <c r="T125">
        <v>33.1</v>
      </c>
      <c r="U125">
        <v>311</v>
      </c>
      <c r="V125">
        <v>2</v>
      </c>
    </row>
    <row r="126" spans="1:22" x14ac:dyDescent="0.35">
      <c r="A126" t="s">
        <v>293</v>
      </c>
      <c r="B126" t="s">
        <v>294</v>
      </c>
      <c r="C126" t="s">
        <v>43</v>
      </c>
      <c r="D126" t="s">
        <v>78</v>
      </c>
      <c r="E126">
        <v>2029</v>
      </c>
      <c r="F126">
        <v>276.7</v>
      </c>
      <c r="G126">
        <v>28.4</v>
      </c>
      <c r="H126">
        <v>461.1</v>
      </c>
      <c r="I126">
        <v>103.3</v>
      </c>
      <c r="J126">
        <v>10</v>
      </c>
      <c r="K126">
        <v>66.55</v>
      </c>
      <c r="L126">
        <v>16</v>
      </c>
      <c r="M126" t="s">
        <v>27</v>
      </c>
      <c r="N126" t="s">
        <v>27</v>
      </c>
      <c r="O126" t="s">
        <v>34</v>
      </c>
      <c r="P126" t="s">
        <v>28</v>
      </c>
      <c r="Q126" t="s">
        <v>29</v>
      </c>
      <c r="R126">
        <v>21</v>
      </c>
      <c r="S126">
        <v>483.9</v>
      </c>
      <c r="T126">
        <v>4.9000000000000004</v>
      </c>
      <c r="U126">
        <v>211</v>
      </c>
      <c r="V126">
        <v>6</v>
      </c>
    </row>
    <row r="127" spans="1:22" x14ac:dyDescent="0.35">
      <c r="A127" t="s">
        <v>295</v>
      </c>
      <c r="B127" t="s">
        <v>296</v>
      </c>
      <c r="C127" t="s">
        <v>24</v>
      </c>
      <c r="D127" t="s">
        <v>78</v>
      </c>
      <c r="E127">
        <v>2033</v>
      </c>
      <c r="F127">
        <v>728.4</v>
      </c>
      <c r="G127">
        <v>53.1</v>
      </c>
      <c r="H127">
        <v>1550.3</v>
      </c>
      <c r="I127">
        <v>261</v>
      </c>
      <c r="J127">
        <v>74.900000000000006</v>
      </c>
      <c r="K127">
        <v>1264.02</v>
      </c>
      <c r="L127">
        <v>25</v>
      </c>
      <c r="M127" t="s">
        <v>34</v>
      </c>
      <c r="N127" t="s">
        <v>34</v>
      </c>
      <c r="O127" t="s">
        <v>27</v>
      </c>
      <c r="P127" t="s">
        <v>52</v>
      </c>
      <c r="Q127" t="s">
        <v>36</v>
      </c>
      <c r="R127">
        <v>12.1</v>
      </c>
      <c r="S127">
        <v>1565.3</v>
      </c>
      <c r="T127">
        <v>8.3000000000000007</v>
      </c>
      <c r="U127">
        <v>548</v>
      </c>
      <c r="V127">
        <v>1</v>
      </c>
    </row>
    <row r="128" spans="1:22" x14ac:dyDescent="0.35">
      <c r="A128" t="s">
        <v>297</v>
      </c>
      <c r="B128" t="s">
        <v>298</v>
      </c>
      <c r="C128" t="s">
        <v>24</v>
      </c>
      <c r="D128" t="s">
        <v>78</v>
      </c>
      <c r="E128">
        <v>2031</v>
      </c>
      <c r="F128">
        <v>1028.0999999999999</v>
      </c>
      <c r="G128">
        <v>45.9</v>
      </c>
      <c r="H128">
        <v>3163.8</v>
      </c>
      <c r="I128">
        <v>104.5</v>
      </c>
      <c r="J128">
        <v>130.5</v>
      </c>
      <c r="K128">
        <v>2103.06</v>
      </c>
      <c r="L128">
        <v>25</v>
      </c>
      <c r="M128" t="s">
        <v>26</v>
      </c>
      <c r="N128" t="s">
        <v>26</v>
      </c>
      <c r="O128" t="s">
        <v>26</v>
      </c>
      <c r="P128" t="s">
        <v>35</v>
      </c>
      <c r="Q128" t="s">
        <v>47</v>
      </c>
      <c r="R128">
        <v>-1.8</v>
      </c>
      <c r="S128">
        <v>-3607.4</v>
      </c>
      <c r="T128">
        <v>57.8</v>
      </c>
      <c r="U128">
        <v>750</v>
      </c>
      <c r="V128">
        <v>10</v>
      </c>
    </row>
    <row r="129" spans="1:22" x14ac:dyDescent="0.35">
      <c r="A129" t="s">
        <v>299</v>
      </c>
      <c r="B129" t="s">
        <v>300</v>
      </c>
      <c r="C129" t="s">
        <v>62</v>
      </c>
      <c r="D129" t="s">
        <v>25</v>
      </c>
      <c r="E129">
        <v>2028</v>
      </c>
      <c r="F129">
        <v>330</v>
      </c>
      <c r="G129">
        <v>12.8</v>
      </c>
      <c r="H129">
        <v>358.5</v>
      </c>
      <c r="I129">
        <v>48.3</v>
      </c>
      <c r="J129">
        <v>4.5999999999999996</v>
      </c>
      <c r="K129">
        <v>79.58</v>
      </c>
      <c r="L129">
        <v>28</v>
      </c>
      <c r="M129" t="s">
        <v>34</v>
      </c>
      <c r="N129" t="s">
        <v>26</v>
      </c>
      <c r="O129" t="s">
        <v>27</v>
      </c>
      <c r="P129" t="s">
        <v>52</v>
      </c>
      <c r="Q129" t="s">
        <v>47</v>
      </c>
      <c r="R129">
        <v>12.7</v>
      </c>
      <c r="S129">
        <v>505</v>
      </c>
      <c r="T129">
        <v>8.1999999999999993</v>
      </c>
      <c r="U129">
        <v>485</v>
      </c>
      <c r="V129">
        <v>2</v>
      </c>
    </row>
    <row r="130" spans="1:22" x14ac:dyDescent="0.35">
      <c r="A130" t="s">
        <v>301</v>
      </c>
      <c r="B130" t="s">
        <v>302</v>
      </c>
      <c r="C130" t="s">
        <v>120</v>
      </c>
      <c r="D130" t="s">
        <v>46</v>
      </c>
      <c r="E130">
        <v>2028</v>
      </c>
      <c r="F130">
        <v>443.3</v>
      </c>
      <c r="G130">
        <v>48.5</v>
      </c>
      <c r="H130">
        <v>829.5</v>
      </c>
      <c r="I130">
        <v>74.8</v>
      </c>
      <c r="J130">
        <v>56</v>
      </c>
      <c r="K130">
        <v>1407.98</v>
      </c>
      <c r="L130">
        <v>15</v>
      </c>
      <c r="M130" t="s">
        <v>27</v>
      </c>
      <c r="N130" t="s">
        <v>27</v>
      </c>
      <c r="O130" t="s">
        <v>34</v>
      </c>
      <c r="P130" t="s">
        <v>52</v>
      </c>
      <c r="Q130" t="s">
        <v>29</v>
      </c>
      <c r="R130">
        <v>1.6</v>
      </c>
      <c r="S130">
        <v>-650</v>
      </c>
      <c r="T130">
        <v>44.3</v>
      </c>
      <c r="U130">
        <v>211</v>
      </c>
      <c r="V130">
        <v>10</v>
      </c>
    </row>
    <row r="131" spans="1:22" x14ac:dyDescent="0.35">
      <c r="A131" t="s">
        <v>303</v>
      </c>
      <c r="B131" t="s">
        <v>304</v>
      </c>
      <c r="C131" t="s">
        <v>32</v>
      </c>
      <c r="D131" t="s">
        <v>78</v>
      </c>
      <c r="E131">
        <v>2029</v>
      </c>
      <c r="F131">
        <v>7.4</v>
      </c>
      <c r="G131">
        <v>88.4</v>
      </c>
      <c r="H131">
        <v>2278.9</v>
      </c>
      <c r="I131">
        <v>2</v>
      </c>
      <c r="J131">
        <v>133</v>
      </c>
      <c r="K131">
        <v>33.11</v>
      </c>
      <c r="L131">
        <v>21</v>
      </c>
      <c r="M131" t="s">
        <v>27</v>
      </c>
      <c r="N131" t="s">
        <v>26</v>
      </c>
      <c r="O131" t="s">
        <v>34</v>
      </c>
      <c r="P131" t="s">
        <v>35</v>
      </c>
      <c r="Q131" t="s">
        <v>36</v>
      </c>
      <c r="R131">
        <v>-9.9</v>
      </c>
      <c r="S131">
        <v>-5447.3</v>
      </c>
      <c r="T131">
        <v>21.6</v>
      </c>
      <c r="U131">
        <v>10</v>
      </c>
      <c r="V131">
        <v>8</v>
      </c>
    </row>
    <row r="132" spans="1:22" x14ac:dyDescent="0.35">
      <c r="A132" t="s">
        <v>305</v>
      </c>
      <c r="B132" t="s">
        <v>306</v>
      </c>
      <c r="C132" t="s">
        <v>24</v>
      </c>
      <c r="D132" t="s">
        <v>25</v>
      </c>
      <c r="E132">
        <v>2029</v>
      </c>
      <c r="F132">
        <v>257</v>
      </c>
      <c r="G132">
        <v>44.6</v>
      </c>
      <c r="H132">
        <v>1003.5</v>
      </c>
      <c r="I132">
        <v>143.5</v>
      </c>
      <c r="J132">
        <v>29.1</v>
      </c>
      <c r="K132">
        <v>378.07</v>
      </c>
      <c r="L132">
        <v>29</v>
      </c>
      <c r="M132" t="s">
        <v>27</v>
      </c>
      <c r="N132" t="s">
        <v>27</v>
      </c>
      <c r="O132" t="s">
        <v>27</v>
      </c>
      <c r="P132" t="s">
        <v>35</v>
      </c>
      <c r="Q132" t="s">
        <v>29</v>
      </c>
      <c r="R132">
        <v>11.5</v>
      </c>
      <c r="S132">
        <v>1056.5</v>
      </c>
      <c r="T132">
        <v>8.8000000000000007</v>
      </c>
      <c r="U132">
        <v>400</v>
      </c>
      <c r="V132">
        <v>8</v>
      </c>
    </row>
    <row r="133" spans="1:22" x14ac:dyDescent="0.35">
      <c r="A133" t="s">
        <v>307</v>
      </c>
      <c r="B133" t="s">
        <v>308</v>
      </c>
      <c r="C133" t="s">
        <v>62</v>
      </c>
      <c r="D133" t="s">
        <v>57</v>
      </c>
      <c r="E133">
        <v>2030</v>
      </c>
      <c r="F133">
        <v>271.7</v>
      </c>
      <c r="G133">
        <v>16.3</v>
      </c>
      <c r="H133">
        <v>450.2</v>
      </c>
      <c r="I133">
        <v>54.4</v>
      </c>
      <c r="J133">
        <v>7.9</v>
      </c>
      <c r="K133">
        <v>155.63999999999999</v>
      </c>
      <c r="L133">
        <v>29</v>
      </c>
      <c r="M133" t="s">
        <v>26</v>
      </c>
      <c r="N133" t="s">
        <v>26</v>
      </c>
      <c r="O133" t="s">
        <v>27</v>
      </c>
      <c r="P133" t="s">
        <v>52</v>
      </c>
      <c r="Q133" t="s">
        <v>47</v>
      </c>
      <c r="R133">
        <v>10.8</v>
      </c>
      <c r="S133">
        <v>396.6</v>
      </c>
      <c r="T133">
        <v>9.6999999999999993</v>
      </c>
      <c r="U133">
        <v>364</v>
      </c>
      <c r="V133">
        <v>6</v>
      </c>
    </row>
    <row r="134" spans="1:22" x14ac:dyDescent="0.35">
      <c r="A134" t="s">
        <v>309</v>
      </c>
      <c r="B134" t="s">
        <v>310</v>
      </c>
      <c r="C134" t="s">
        <v>39</v>
      </c>
      <c r="D134" t="s">
        <v>25</v>
      </c>
      <c r="E134">
        <v>2033</v>
      </c>
      <c r="F134">
        <v>112</v>
      </c>
      <c r="G134">
        <v>65.599999999999994</v>
      </c>
      <c r="H134">
        <v>573.4</v>
      </c>
      <c r="I134">
        <v>32.5</v>
      </c>
      <c r="J134">
        <v>18.7</v>
      </c>
      <c r="K134">
        <v>12.87</v>
      </c>
      <c r="L134">
        <v>32</v>
      </c>
      <c r="M134" t="s">
        <v>26</v>
      </c>
      <c r="N134" t="s">
        <v>34</v>
      </c>
      <c r="O134" t="s">
        <v>34</v>
      </c>
      <c r="P134" t="s">
        <v>35</v>
      </c>
      <c r="Q134" t="s">
        <v>47</v>
      </c>
      <c r="R134">
        <v>2.5</v>
      </c>
      <c r="S134">
        <v>-262.5</v>
      </c>
      <c r="T134">
        <v>41.7</v>
      </c>
      <c r="U134">
        <v>143</v>
      </c>
      <c r="V134">
        <v>8</v>
      </c>
    </row>
    <row r="135" spans="1:22" x14ac:dyDescent="0.35">
      <c r="A135" t="s">
        <v>311</v>
      </c>
      <c r="B135" t="s">
        <v>312</v>
      </c>
      <c r="C135" t="s">
        <v>43</v>
      </c>
      <c r="D135" t="s">
        <v>46</v>
      </c>
      <c r="E135">
        <v>2027</v>
      </c>
      <c r="F135">
        <v>213.5</v>
      </c>
      <c r="G135">
        <v>22.5</v>
      </c>
      <c r="H135">
        <v>296.39999999999998</v>
      </c>
      <c r="I135">
        <v>39.1</v>
      </c>
      <c r="J135">
        <v>16.100000000000001</v>
      </c>
      <c r="K135">
        <v>116.21</v>
      </c>
      <c r="L135">
        <v>13</v>
      </c>
      <c r="M135" t="s">
        <v>27</v>
      </c>
      <c r="N135" t="s">
        <v>34</v>
      </c>
      <c r="O135" t="s">
        <v>27</v>
      </c>
      <c r="P135" t="s">
        <v>28</v>
      </c>
      <c r="Q135" t="s">
        <v>47</v>
      </c>
      <c r="R135">
        <v>7.4</v>
      </c>
      <c r="S135">
        <v>-86.2</v>
      </c>
      <c r="T135">
        <v>12.9</v>
      </c>
      <c r="U135">
        <v>75</v>
      </c>
      <c r="V135">
        <v>3</v>
      </c>
    </row>
    <row r="136" spans="1:22" x14ac:dyDescent="0.35">
      <c r="A136" t="s">
        <v>313</v>
      </c>
      <c r="B136" t="s">
        <v>314</v>
      </c>
      <c r="C136" t="s">
        <v>43</v>
      </c>
      <c r="D136" t="s">
        <v>78</v>
      </c>
      <c r="E136">
        <v>2031</v>
      </c>
      <c r="F136">
        <v>364.5</v>
      </c>
      <c r="G136">
        <v>22.8</v>
      </c>
      <c r="H136">
        <v>217.5</v>
      </c>
      <c r="I136">
        <v>18.5</v>
      </c>
      <c r="J136">
        <v>6.2</v>
      </c>
      <c r="K136">
        <v>156.91</v>
      </c>
      <c r="L136">
        <v>18</v>
      </c>
      <c r="M136" t="s">
        <v>26</v>
      </c>
      <c r="N136" t="s">
        <v>27</v>
      </c>
      <c r="O136" t="s">
        <v>26</v>
      </c>
      <c r="P136" t="s">
        <v>35</v>
      </c>
      <c r="Q136" t="s">
        <v>36</v>
      </c>
      <c r="R136">
        <v>5.8</v>
      </c>
      <c r="S136">
        <v>-58.7</v>
      </c>
      <c r="T136">
        <v>17.7</v>
      </c>
      <c r="U136">
        <v>256</v>
      </c>
      <c r="V136">
        <v>6</v>
      </c>
    </row>
    <row r="137" spans="1:22" x14ac:dyDescent="0.35">
      <c r="A137" t="s">
        <v>315</v>
      </c>
      <c r="B137" t="s">
        <v>316</v>
      </c>
      <c r="C137" t="s">
        <v>43</v>
      </c>
      <c r="D137" t="s">
        <v>46</v>
      </c>
      <c r="E137">
        <v>2031</v>
      </c>
      <c r="F137">
        <v>38.799999999999997</v>
      </c>
      <c r="G137">
        <v>22.6</v>
      </c>
      <c r="H137">
        <v>679.6</v>
      </c>
      <c r="I137">
        <v>77.099999999999994</v>
      </c>
      <c r="J137">
        <v>28</v>
      </c>
      <c r="K137">
        <v>18.239999999999998</v>
      </c>
      <c r="L137">
        <v>16</v>
      </c>
      <c r="M137" t="s">
        <v>26</v>
      </c>
      <c r="N137" t="s">
        <v>26</v>
      </c>
      <c r="O137" t="s">
        <v>26</v>
      </c>
      <c r="P137" t="s">
        <v>28</v>
      </c>
      <c r="Q137" t="s">
        <v>65</v>
      </c>
      <c r="R137">
        <v>8.1</v>
      </c>
      <c r="S137">
        <v>-144.6</v>
      </c>
      <c r="T137">
        <v>13.8</v>
      </c>
      <c r="U137">
        <v>53</v>
      </c>
      <c r="V137">
        <v>7</v>
      </c>
    </row>
    <row r="138" spans="1:22" x14ac:dyDescent="0.35">
      <c r="A138" t="s">
        <v>317</v>
      </c>
      <c r="B138" t="s">
        <v>318</v>
      </c>
      <c r="C138" t="s">
        <v>32</v>
      </c>
      <c r="D138" t="s">
        <v>57</v>
      </c>
      <c r="E138">
        <v>2027</v>
      </c>
      <c r="F138">
        <v>4.7</v>
      </c>
      <c r="G138">
        <v>63.4</v>
      </c>
      <c r="H138">
        <v>1254.5999999999999</v>
      </c>
      <c r="I138">
        <v>95</v>
      </c>
      <c r="J138">
        <v>90.6</v>
      </c>
      <c r="K138">
        <v>17.850000000000001</v>
      </c>
      <c r="L138">
        <v>26</v>
      </c>
      <c r="M138" t="s">
        <v>27</v>
      </c>
      <c r="N138" t="s">
        <v>26</v>
      </c>
      <c r="O138" t="s">
        <v>26</v>
      </c>
      <c r="P138" t="s">
        <v>28</v>
      </c>
      <c r="Q138" t="s">
        <v>29</v>
      </c>
      <c r="R138">
        <v>0.5</v>
      </c>
      <c r="S138">
        <v>-1169</v>
      </c>
      <c r="T138">
        <v>283.89999999999998</v>
      </c>
      <c r="U138">
        <v>10</v>
      </c>
      <c r="V138">
        <v>2</v>
      </c>
    </row>
    <row r="139" spans="1:22" x14ac:dyDescent="0.35">
      <c r="A139" t="s">
        <v>319</v>
      </c>
      <c r="B139" t="s">
        <v>320</v>
      </c>
      <c r="C139" t="s">
        <v>32</v>
      </c>
      <c r="D139" t="s">
        <v>46</v>
      </c>
      <c r="E139">
        <v>2035</v>
      </c>
      <c r="F139">
        <v>0.9</v>
      </c>
      <c r="G139">
        <v>79.8</v>
      </c>
      <c r="H139">
        <v>2262</v>
      </c>
      <c r="I139">
        <v>128.4</v>
      </c>
      <c r="J139">
        <v>142.69999999999999</v>
      </c>
      <c r="K139">
        <v>2.6</v>
      </c>
      <c r="L139">
        <v>26</v>
      </c>
      <c r="M139" t="s">
        <v>26</v>
      </c>
      <c r="N139" t="s">
        <v>26</v>
      </c>
      <c r="O139" t="s">
        <v>27</v>
      </c>
      <c r="P139" t="s">
        <v>52</v>
      </c>
      <c r="Q139" t="s">
        <v>47</v>
      </c>
      <c r="R139">
        <v>-1.5</v>
      </c>
      <c r="S139">
        <v>-2523.1</v>
      </c>
      <c r="T139">
        <v>44.6</v>
      </c>
      <c r="U139">
        <v>10</v>
      </c>
      <c r="V139">
        <v>7</v>
      </c>
    </row>
    <row r="140" spans="1:22" x14ac:dyDescent="0.35">
      <c r="A140" t="s">
        <v>321</v>
      </c>
      <c r="B140" t="s">
        <v>322</v>
      </c>
      <c r="C140" t="s">
        <v>39</v>
      </c>
      <c r="D140" t="s">
        <v>57</v>
      </c>
      <c r="E140">
        <v>2035</v>
      </c>
      <c r="F140">
        <v>809.8</v>
      </c>
      <c r="G140">
        <v>58.3</v>
      </c>
      <c r="H140">
        <v>1221.2</v>
      </c>
      <c r="I140">
        <v>89.4</v>
      </c>
      <c r="J140">
        <v>30</v>
      </c>
      <c r="K140">
        <v>448.84</v>
      </c>
      <c r="L140">
        <v>27</v>
      </c>
      <c r="M140" t="s">
        <v>26</v>
      </c>
      <c r="N140" t="s">
        <v>27</v>
      </c>
      <c r="O140" t="s">
        <v>26</v>
      </c>
      <c r="P140" t="s">
        <v>28</v>
      </c>
      <c r="Q140" t="s">
        <v>36</v>
      </c>
      <c r="R140">
        <v>5.7</v>
      </c>
      <c r="S140">
        <v>-47.9</v>
      </c>
      <c r="T140">
        <v>20.5</v>
      </c>
      <c r="U140">
        <v>631</v>
      </c>
      <c r="V140">
        <v>3</v>
      </c>
    </row>
    <row r="141" spans="1:22" x14ac:dyDescent="0.35">
      <c r="A141" t="s">
        <v>323</v>
      </c>
      <c r="B141" t="s">
        <v>324</v>
      </c>
      <c r="C141" t="s">
        <v>32</v>
      </c>
      <c r="D141" t="s">
        <v>78</v>
      </c>
      <c r="E141">
        <v>2031</v>
      </c>
      <c r="F141">
        <v>4.7</v>
      </c>
      <c r="G141">
        <v>85.6</v>
      </c>
      <c r="H141">
        <v>1098.5</v>
      </c>
      <c r="I141">
        <v>2</v>
      </c>
      <c r="J141">
        <v>56.7</v>
      </c>
      <c r="K141">
        <v>15.11</v>
      </c>
      <c r="L141">
        <v>20</v>
      </c>
      <c r="M141" t="s">
        <v>27</v>
      </c>
      <c r="N141" t="s">
        <v>26</v>
      </c>
      <c r="O141" t="s">
        <v>27</v>
      </c>
      <c r="P141" t="s">
        <v>35</v>
      </c>
      <c r="Q141" t="s">
        <v>65</v>
      </c>
      <c r="R141">
        <v>-5.8</v>
      </c>
      <c r="S141">
        <v>-1876.5</v>
      </c>
      <c r="T141">
        <v>23.8</v>
      </c>
      <c r="U141">
        <v>10</v>
      </c>
      <c r="V141">
        <v>7</v>
      </c>
    </row>
    <row r="142" spans="1:22" x14ac:dyDescent="0.35">
      <c r="A142" t="s">
        <v>325</v>
      </c>
      <c r="B142" t="s">
        <v>326</v>
      </c>
      <c r="C142" t="s">
        <v>120</v>
      </c>
      <c r="D142" t="s">
        <v>57</v>
      </c>
      <c r="E142">
        <v>2033</v>
      </c>
      <c r="F142">
        <v>580.4</v>
      </c>
      <c r="G142">
        <v>40.700000000000003</v>
      </c>
      <c r="H142">
        <v>1995.8</v>
      </c>
      <c r="I142">
        <v>270.10000000000002</v>
      </c>
      <c r="J142">
        <v>112.5</v>
      </c>
      <c r="K142">
        <v>1125.23</v>
      </c>
      <c r="L142">
        <v>18</v>
      </c>
      <c r="M142" t="s">
        <v>26</v>
      </c>
      <c r="N142" t="s">
        <v>26</v>
      </c>
      <c r="O142" t="s">
        <v>34</v>
      </c>
      <c r="P142" t="s">
        <v>35</v>
      </c>
      <c r="Q142" t="s">
        <v>29</v>
      </c>
      <c r="R142">
        <v>9</v>
      </c>
      <c r="S142">
        <v>58.8</v>
      </c>
      <c r="T142">
        <v>12.7</v>
      </c>
      <c r="U142">
        <v>879</v>
      </c>
      <c r="V142">
        <v>3</v>
      </c>
    </row>
    <row r="143" spans="1:22" x14ac:dyDescent="0.35">
      <c r="A143" t="s">
        <v>327</v>
      </c>
      <c r="B143" t="s">
        <v>328</v>
      </c>
      <c r="C143" t="s">
        <v>43</v>
      </c>
      <c r="D143" t="s">
        <v>25</v>
      </c>
      <c r="E143">
        <v>2030</v>
      </c>
      <c r="F143">
        <v>431.1</v>
      </c>
      <c r="G143">
        <v>32</v>
      </c>
      <c r="H143">
        <v>703.8</v>
      </c>
      <c r="I143">
        <v>173</v>
      </c>
      <c r="J143">
        <v>34.1</v>
      </c>
      <c r="K143">
        <v>419.09</v>
      </c>
      <c r="L143">
        <v>13</v>
      </c>
      <c r="M143" t="s">
        <v>27</v>
      </c>
      <c r="N143" t="s">
        <v>27</v>
      </c>
      <c r="O143" t="s">
        <v>27</v>
      </c>
      <c r="P143" t="s">
        <v>52</v>
      </c>
      <c r="Q143" t="s">
        <v>65</v>
      </c>
      <c r="R143">
        <v>18.8</v>
      </c>
      <c r="S143">
        <v>390.8</v>
      </c>
      <c r="T143">
        <v>5.0999999999999996</v>
      </c>
      <c r="U143">
        <v>646</v>
      </c>
      <c r="V143">
        <v>6</v>
      </c>
    </row>
    <row r="144" spans="1:22" x14ac:dyDescent="0.35">
      <c r="A144" t="s">
        <v>329</v>
      </c>
      <c r="B144" t="s">
        <v>330</v>
      </c>
      <c r="C144" t="s">
        <v>39</v>
      </c>
      <c r="D144" t="s">
        <v>78</v>
      </c>
      <c r="E144">
        <v>2033</v>
      </c>
      <c r="F144">
        <v>114.4</v>
      </c>
      <c r="G144">
        <v>65</v>
      </c>
      <c r="H144">
        <v>279.7</v>
      </c>
      <c r="I144">
        <v>11</v>
      </c>
      <c r="J144">
        <v>9</v>
      </c>
      <c r="K144">
        <v>31.08</v>
      </c>
      <c r="L144">
        <v>37</v>
      </c>
      <c r="M144" t="s">
        <v>27</v>
      </c>
      <c r="N144" t="s">
        <v>26</v>
      </c>
      <c r="O144" t="s">
        <v>27</v>
      </c>
      <c r="P144" t="s">
        <v>28</v>
      </c>
      <c r="Q144" t="s">
        <v>47</v>
      </c>
      <c r="R144">
        <v>0.9</v>
      </c>
      <c r="S144">
        <v>-231.4</v>
      </c>
      <c r="T144">
        <v>139</v>
      </c>
      <c r="U144">
        <v>139</v>
      </c>
      <c r="V144">
        <v>9</v>
      </c>
    </row>
    <row r="145" spans="1:22" x14ac:dyDescent="0.35">
      <c r="A145" t="s">
        <v>331</v>
      </c>
      <c r="B145" t="s">
        <v>332</v>
      </c>
      <c r="C145" t="s">
        <v>39</v>
      </c>
      <c r="D145" t="s">
        <v>40</v>
      </c>
      <c r="E145">
        <v>2027</v>
      </c>
      <c r="F145">
        <v>607.9</v>
      </c>
      <c r="G145">
        <v>37.9</v>
      </c>
      <c r="H145">
        <v>1168.9000000000001</v>
      </c>
      <c r="I145">
        <v>148</v>
      </c>
      <c r="J145">
        <v>53</v>
      </c>
      <c r="K145">
        <v>200.93</v>
      </c>
      <c r="L145">
        <v>21</v>
      </c>
      <c r="M145" t="s">
        <v>26</v>
      </c>
      <c r="N145" t="s">
        <v>26</v>
      </c>
      <c r="O145" t="s">
        <v>26</v>
      </c>
      <c r="P145" t="s">
        <v>35</v>
      </c>
      <c r="Q145" t="s">
        <v>65</v>
      </c>
      <c r="R145">
        <v>8.8000000000000007</v>
      </c>
      <c r="S145">
        <v>40</v>
      </c>
      <c r="T145">
        <v>12.3</v>
      </c>
      <c r="U145">
        <v>827</v>
      </c>
      <c r="V145">
        <v>2</v>
      </c>
    </row>
    <row r="146" spans="1:22" x14ac:dyDescent="0.35">
      <c r="A146" t="s">
        <v>333</v>
      </c>
      <c r="B146" t="s">
        <v>334</v>
      </c>
      <c r="C146" t="s">
        <v>120</v>
      </c>
      <c r="D146" t="s">
        <v>78</v>
      </c>
      <c r="E146">
        <v>2035</v>
      </c>
      <c r="F146">
        <v>480.7</v>
      </c>
      <c r="G146">
        <v>66</v>
      </c>
      <c r="H146">
        <v>754.1</v>
      </c>
      <c r="I146">
        <v>165.8</v>
      </c>
      <c r="J146">
        <v>28.7</v>
      </c>
      <c r="K146">
        <v>692.15</v>
      </c>
      <c r="L146">
        <v>21</v>
      </c>
      <c r="M146" t="s">
        <v>26</v>
      </c>
      <c r="N146" t="s">
        <v>27</v>
      </c>
      <c r="O146" t="s">
        <v>26</v>
      </c>
      <c r="P146" t="s">
        <v>28</v>
      </c>
      <c r="Q146" t="s">
        <v>65</v>
      </c>
      <c r="R146">
        <v>18.600000000000001</v>
      </c>
      <c r="S146">
        <v>1103.0999999999999</v>
      </c>
      <c r="T146">
        <v>5.5</v>
      </c>
      <c r="U146">
        <v>402</v>
      </c>
      <c r="V146">
        <v>7</v>
      </c>
    </row>
    <row r="147" spans="1:22" x14ac:dyDescent="0.35">
      <c r="A147" t="s">
        <v>335</v>
      </c>
      <c r="B147" t="s">
        <v>336</v>
      </c>
      <c r="C147" t="s">
        <v>39</v>
      </c>
      <c r="D147" t="s">
        <v>46</v>
      </c>
      <c r="E147">
        <v>2032</v>
      </c>
      <c r="F147">
        <v>582.9</v>
      </c>
      <c r="G147">
        <v>40.9</v>
      </c>
      <c r="H147">
        <v>753.3</v>
      </c>
      <c r="I147">
        <v>54.2</v>
      </c>
      <c r="J147">
        <v>19.7</v>
      </c>
      <c r="K147">
        <v>335.63</v>
      </c>
      <c r="L147">
        <v>28</v>
      </c>
      <c r="M147" t="s">
        <v>34</v>
      </c>
      <c r="N147" t="s">
        <v>26</v>
      </c>
      <c r="O147" t="s">
        <v>26</v>
      </c>
      <c r="P147" t="s">
        <v>35</v>
      </c>
      <c r="Q147" t="s">
        <v>29</v>
      </c>
      <c r="R147">
        <v>5.6</v>
      </c>
      <c r="S147">
        <v>-79.099999999999994</v>
      </c>
      <c r="T147">
        <v>21.9</v>
      </c>
      <c r="U147">
        <v>623</v>
      </c>
      <c r="V147">
        <v>6</v>
      </c>
    </row>
    <row r="148" spans="1:22" x14ac:dyDescent="0.35">
      <c r="A148" t="s">
        <v>337</v>
      </c>
      <c r="B148" t="s">
        <v>338</v>
      </c>
      <c r="C148" t="s">
        <v>120</v>
      </c>
      <c r="D148" t="s">
        <v>78</v>
      </c>
      <c r="E148">
        <v>2033</v>
      </c>
      <c r="F148">
        <v>468</v>
      </c>
      <c r="G148">
        <v>66.599999999999994</v>
      </c>
      <c r="H148">
        <v>1635</v>
      </c>
      <c r="I148">
        <v>354.2</v>
      </c>
      <c r="J148">
        <v>90.8</v>
      </c>
      <c r="K148">
        <v>1510.72</v>
      </c>
      <c r="L148">
        <v>17</v>
      </c>
      <c r="M148" t="s">
        <v>27</v>
      </c>
      <c r="N148" t="s">
        <v>34</v>
      </c>
      <c r="O148" t="s">
        <v>27</v>
      </c>
      <c r="P148" t="s">
        <v>52</v>
      </c>
      <c r="Q148" t="s">
        <v>47</v>
      </c>
      <c r="R148">
        <v>16.3</v>
      </c>
      <c r="S148">
        <v>1139.3</v>
      </c>
      <c r="T148">
        <v>6.2</v>
      </c>
      <c r="U148">
        <v>733</v>
      </c>
      <c r="V148">
        <v>2</v>
      </c>
    </row>
    <row r="149" spans="1:22" x14ac:dyDescent="0.35">
      <c r="A149" t="s">
        <v>339</v>
      </c>
      <c r="B149" t="s">
        <v>340</v>
      </c>
      <c r="C149" t="s">
        <v>24</v>
      </c>
      <c r="D149" t="s">
        <v>46</v>
      </c>
      <c r="E149">
        <v>2034</v>
      </c>
      <c r="F149">
        <v>782.7</v>
      </c>
      <c r="G149">
        <v>49.7</v>
      </c>
      <c r="H149">
        <v>1970.8</v>
      </c>
      <c r="I149">
        <v>117.5</v>
      </c>
      <c r="J149">
        <v>79.8</v>
      </c>
      <c r="K149">
        <v>1183.71</v>
      </c>
      <c r="L149">
        <v>25</v>
      </c>
      <c r="M149" t="s">
        <v>26</v>
      </c>
      <c r="N149" t="s">
        <v>26</v>
      </c>
      <c r="O149" t="s">
        <v>34</v>
      </c>
      <c r="P149" t="s">
        <v>28</v>
      </c>
      <c r="Q149" t="s">
        <v>36</v>
      </c>
      <c r="R149">
        <v>1.4</v>
      </c>
      <c r="S149">
        <v>-1365.8</v>
      </c>
      <c r="T149">
        <v>52.3</v>
      </c>
      <c r="U149">
        <v>1063</v>
      </c>
      <c r="V149">
        <v>9</v>
      </c>
    </row>
    <row r="150" spans="1:22" x14ac:dyDescent="0.35">
      <c r="A150" t="s">
        <v>341</v>
      </c>
      <c r="B150" t="s">
        <v>342</v>
      </c>
      <c r="C150" t="s">
        <v>62</v>
      </c>
      <c r="D150" t="s">
        <v>57</v>
      </c>
      <c r="E150">
        <v>2031</v>
      </c>
      <c r="F150">
        <v>202.6</v>
      </c>
      <c r="G150">
        <v>17.5</v>
      </c>
      <c r="H150">
        <v>523.5</v>
      </c>
      <c r="I150">
        <v>74.7</v>
      </c>
      <c r="J150">
        <v>7.4</v>
      </c>
      <c r="K150">
        <v>103.99</v>
      </c>
      <c r="L150">
        <v>30</v>
      </c>
      <c r="M150" t="s">
        <v>27</v>
      </c>
      <c r="N150" t="s">
        <v>27</v>
      </c>
      <c r="O150" t="s">
        <v>26</v>
      </c>
      <c r="P150" t="s">
        <v>28</v>
      </c>
      <c r="Q150" t="s">
        <v>36</v>
      </c>
      <c r="R150">
        <v>12.8</v>
      </c>
      <c r="S150">
        <v>680.3</v>
      </c>
      <c r="T150">
        <v>7.8</v>
      </c>
      <c r="U150">
        <v>98</v>
      </c>
      <c r="V150">
        <v>4</v>
      </c>
    </row>
    <row r="151" spans="1:22" x14ac:dyDescent="0.35">
      <c r="A151" t="s">
        <v>343</v>
      </c>
      <c r="B151" t="s">
        <v>344</v>
      </c>
      <c r="C151" t="s">
        <v>24</v>
      </c>
      <c r="D151" t="s">
        <v>46</v>
      </c>
      <c r="E151">
        <v>2035</v>
      </c>
      <c r="F151">
        <v>1364.9</v>
      </c>
      <c r="G151">
        <v>50.6</v>
      </c>
      <c r="H151">
        <v>2855.9</v>
      </c>
      <c r="I151">
        <v>97.9</v>
      </c>
      <c r="J151">
        <v>95.7</v>
      </c>
      <c r="K151">
        <v>1353.56</v>
      </c>
      <c r="L151">
        <v>28</v>
      </c>
      <c r="M151" t="s">
        <v>26</v>
      </c>
      <c r="N151" t="s">
        <v>27</v>
      </c>
      <c r="O151" t="s">
        <v>26</v>
      </c>
      <c r="P151" t="s">
        <v>52</v>
      </c>
      <c r="Q151" t="s">
        <v>47</v>
      </c>
      <c r="R151">
        <v>0.5</v>
      </c>
      <c r="S151">
        <v>-2810.8</v>
      </c>
      <c r="T151">
        <v>1279.2</v>
      </c>
      <c r="U151">
        <v>586</v>
      </c>
      <c r="V151">
        <v>8</v>
      </c>
    </row>
    <row r="152" spans="1:22" x14ac:dyDescent="0.35">
      <c r="A152" t="s">
        <v>345</v>
      </c>
      <c r="B152" t="s">
        <v>346</v>
      </c>
      <c r="C152" t="s">
        <v>62</v>
      </c>
      <c r="D152" t="s">
        <v>33</v>
      </c>
      <c r="E152">
        <v>2035</v>
      </c>
      <c r="F152">
        <v>440.6</v>
      </c>
      <c r="G152">
        <v>15</v>
      </c>
      <c r="H152">
        <v>250.6</v>
      </c>
      <c r="I152">
        <v>2</v>
      </c>
      <c r="J152">
        <v>3.2</v>
      </c>
      <c r="K152">
        <v>246.44</v>
      </c>
      <c r="L152">
        <v>29</v>
      </c>
      <c r="M152" t="s">
        <v>26</v>
      </c>
      <c r="N152" t="s">
        <v>27</v>
      </c>
      <c r="O152" t="s">
        <v>26</v>
      </c>
      <c r="P152" t="s">
        <v>28</v>
      </c>
      <c r="Q152" t="s">
        <v>47</v>
      </c>
      <c r="R152">
        <v>-1.7</v>
      </c>
      <c r="S152">
        <v>-289.10000000000002</v>
      </c>
      <c r="T152">
        <v>58.3</v>
      </c>
      <c r="U152">
        <v>473</v>
      </c>
      <c r="V152">
        <v>9</v>
      </c>
    </row>
    <row r="153" spans="1:22" x14ac:dyDescent="0.35">
      <c r="A153" t="s">
        <v>347</v>
      </c>
      <c r="B153" t="s">
        <v>348</v>
      </c>
      <c r="C153" t="s">
        <v>24</v>
      </c>
      <c r="D153" t="s">
        <v>78</v>
      </c>
      <c r="E153">
        <v>2035</v>
      </c>
      <c r="F153">
        <v>798.1</v>
      </c>
      <c r="G153">
        <v>52.1</v>
      </c>
      <c r="H153">
        <v>2332.1999999999998</v>
      </c>
      <c r="I153">
        <v>453.5</v>
      </c>
      <c r="J153">
        <v>60.8</v>
      </c>
      <c r="K153">
        <v>1965.88</v>
      </c>
      <c r="L153">
        <v>26</v>
      </c>
      <c r="M153" t="s">
        <v>26</v>
      </c>
      <c r="N153" t="s">
        <v>26</v>
      </c>
      <c r="O153" t="s">
        <v>26</v>
      </c>
      <c r="P153" t="s">
        <v>52</v>
      </c>
      <c r="Q153" t="s">
        <v>36</v>
      </c>
      <c r="R153">
        <v>18</v>
      </c>
      <c r="S153">
        <v>4680.1000000000004</v>
      </c>
      <c r="T153">
        <v>5.9</v>
      </c>
      <c r="U153">
        <v>549</v>
      </c>
      <c r="V153">
        <v>6</v>
      </c>
    </row>
    <row r="154" spans="1:22" x14ac:dyDescent="0.35">
      <c r="A154" t="s">
        <v>349</v>
      </c>
      <c r="B154" t="s">
        <v>350</v>
      </c>
      <c r="C154" t="s">
        <v>39</v>
      </c>
      <c r="D154" t="s">
        <v>57</v>
      </c>
      <c r="E154">
        <v>2028</v>
      </c>
      <c r="F154">
        <v>109.4</v>
      </c>
      <c r="G154">
        <v>36.1</v>
      </c>
      <c r="H154">
        <v>980.9</v>
      </c>
      <c r="I154">
        <v>98.3</v>
      </c>
      <c r="J154">
        <v>44.5</v>
      </c>
      <c r="K154">
        <v>19.690000000000001</v>
      </c>
      <c r="L154">
        <v>20</v>
      </c>
      <c r="M154" t="s">
        <v>27</v>
      </c>
      <c r="N154" t="s">
        <v>27</v>
      </c>
      <c r="O154" t="s">
        <v>27</v>
      </c>
      <c r="P154" t="s">
        <v>28</v>
      </c>
      <c r="Q154" t="s">
        <v>47</v>
      </c>
      <c r="R154">
        <v>6.4</v>
      </c>
      <c r="S154">
        <v>-253.1</v>
      </c>
      <c r="T154">
        <v>18.2</v>
      </c>
      <c r="U154">
        <v>118</v>
      </c>
      <c r="V154">
        <v>3</v>
      </c>
    </row>
    <row r="155" spans="1:22" x14ac:dyDescent="0.35">
      <c r="A155" t="s">
        <v>351</v>
      </c>
      <c r="B155" t="s">
        <v>352</v>
      </c>
      <c r="C155" t="s">
        <v>97</v>
      </c>
      <c r="D155" t="s">
        <v>25</v>
      </c>
      <c r="E155">
        <v>2035</v>
      </c>
      <c r="F155">
        <v>18.3</v>
      </c>
      <c r="G155">
        <v>51.5</v>
      </c>
      <c r="H155">
        <v>334.7</v>
      </c>
      <c r="I155">
        <v>19</v>
      </c>
      <c r="J155">
        <v>5.6</v>
      </c>
      <c r="K155">
        <v>5.71</v>
      </c>
      <c r="L155">
        <v>16</v>
      </c>
      <c r="M155" t="s">
        <v>26</v>
      </c>
      <c r="N155" t="s">
        <v>27</v>
      </c>
      <c r="O155" t="s">
        <v>27</v>
      </c>
      <c r="P155" t="s">
        <v>28</v>
      </c>
      <c r="Q155" t="s">
        <v>47</v>
      </c>
      <c r="R155">
        <v>3.1</v>
      </c>
      <c r="S155">
        <v>-173.6</v>
      </c>
      <c r="T155">
        <v>25</v>
      </c>
      <c r="U155">
        <v>29</v>
      </c>
      <c r="V155">
        <v>9</v>
      </c>
    </row>
    <row r="156" spans="1:22" x14ac:dyDescent="0.35">
      <c r="A156" t="s">
        <v>353</v>
      </c>
      <c r="B156" t="s">
        <v>354</v>
      </c>
      <c r="C156" t="s">
        <v>43</v>
      </c>
      <c r="D156" t="s">
        <v>78</v>
      </c>
      <c r="E156">
        <v>2034</v>
      </c>
      <c r="F156">
        <v>353.1</v>
      </c>
      <c r="G156">
        <v>23.5</v>
      </c>
      <c r="H156">
        <v>870.1</v>
      </c>
      <c r="I156">
        <v>162.6</v>
      </c>
      <c r="J156">
        <v>34.299999999999997</v>
      </c>
      <c r="K156">
        <v>181.04</v>
      </c>
      <c r="L156">
        <v>16</v>
      </c>
      <c r="M156" t="s">
        <v>34</v>
      </c>
      <c r="N156" t="s">
        <v>26</v>
      </c>
      <c r="O156" t="s">
        <v>26</v>
      </c>
      <c r="P156" t="s">
        <v>35</v>
      </c>
      <c r="Q156" t="s">
        <v>47</v>
      </c>
      <c r="R156">
        <v>14.5</v>
      </c>
      <c r="S156">
        <v>597.29999999999995</v>
      </c>
      <c r="T156">
        <v>6.8</v>
      </c>
      <c r="U156">
        <v>363</v>
      </c>
      <c r="V156">
        <v>3</v>
      </c>
    </row>
    <row r="157" spans="1:22" x14ac:dyDescent="0.35">
      <c r="A157" t="s">
        <v>355</v>
      </c>
      <c r="B157" t="s">
        <v>356</v>
      </c>
      <c r="C157" t="s">
        <v>43</v>
      </c>
      <c r="D157" t="s">
        <v>78</v>
      </c>
      <c r="E157">
        <v>2035</v>
      </c>
      <c r="F157">
        <v>324.10000000000002</v>
      </c>
      <c r="G157">
        <v>13</v>
      </c>
      <c r="H157">
        <v>669.2</v>
      </c>
      <c r="I157">
        <v>109.4</v>
      </c>
      <c r="J157">
        <v>24.8</v>
      </c>
      <c r="K157">
        <v>120.86</v>
      </c>
      <c r="L157">
        <v>14</v>
      </c>
      <c r="M157" t="s">
        <v>34</v>
      </c>
      <c r="N157" t="s">
        <v>27</v>
      </c>
      <c r="O157" t="s">
        <v>26</v>
      </c>
      <c r="P157" t="s">
        <v>28</v>
      </c>
      <c r="Q157" t="s">
        <v>29</v>
      </c>
      <c r="R157">
        <v>13.8</v>
      </c>
      <c r="S157">
        <v>239.8</v>
      </c>
      <c r="T157">
        <v>7.9</v>
      </c>
      <c r="U157">
        <v>286</v>
      </c>
      <c r="V157">
        <v>3</v>
      </c>
    </row>
    <row r="158" spans="1:22" x14ac:dyDescent="0.35">
      <c r="A158" t="s">
        <v>357</v>
      </c>
      <c r="B158" t="s">
        <v>358</v>
      </c>
      <c r="C158" t="s">
        <v>62</v>
      </c>
      <c r="D158" t="s">
        <v>40</v>
      </c>
      <c r="E158">
        <v>2027</v>
      </c>
      <c r="F158">
        <v>166.1</v>
      </c>
      <c r="G158">
        <v>17.3</v>
      </c>
      <c r="H158">
        <v>408.6</v>
      </c>
      <c r="I158">
        <v>70.8</v>
      </c>
      <c r="J158">
        <v>7.6</v>
      </c>
      <c r="K158">
        <v>48.75</v>
      </c>
      <c r="L158">
        <v>25</v>
      </c>
      <c r="M158" t="s">
        <v>34</v>
      </c>
      <c r="N158" t="s">
        <v>26</v>
      </c>
      <c r="O158" t="s">
        <v>26</v>
      </c>
      <c r="P158" t="s">
        <v>28</v>
      </c>
      <c r="Q158" t="s">
        <v>36</v>
      </c>
      <c r="R158">
        <v>16.399999999999999</v>
      </c>
      <c r="S158">
        <v>781.7</v>
      </c>
      <c r="T158">
        <v>6.5</v>
      </c>
      <c r="U158">
        <v>189</v>
      </c>
      <c r="V158">
        <v>7</v>
      </c>
    </row>
    <row r="159" spans="1:22" x14ac:dyDescent="0.35">
      <c r="A159" t="s">
        <v>359</v>
      </c>
      <c r="B159" t="s">
        <v>360</v>
      </c>
      <c r="C159" t="s">
        <v>62</v>
      </c>
      <c r="D159" t="s">
        <v>25</v>
      </c>
      <c r="E159">
        <v>2027</v>
      </c>
      <c r="F159">
        <v>397</v>
      </c>
      <c r="G159">
        <v>16.600000000000001</v>
      </c>
      <c r="H159">
        <v>256.10000000000002</v>
      </c>
      <c r="I159">
        <v>60.2</v>
      </c>
      <c r="J159">
        <v>7.5</v>
      </c>
      <c r="K159">
        <v>148.46</v>
      </c>
      <c r="L159">
        <v>30</v>
      </c>
      <c r="M159" t="s">
        <v>27</v>
      </c>
      <c r="N159" t="s">
        <v>26</v>
      </c>
      <c r="O159" t="s">
        <v>26</v>
      </c>
      <c r="P159" t="s">
        <v>35</v>
      </c>
      <c r="Q159" t="s">
        <v>36</v>
      </c>
      <c r="R159">
        <v>20.8</v>
      </c>
      <c r="S159">
        <v>838.5</v>
      </c>
      <c r="T159">
        <v>4.9000000000000004</v>
      </c>
      <c r="U159">
        <v>226</v>
      </c>
      <c r="V159">
        <v>6</v>
      </c>
    </row>
    <row r="160" spans="1:22" x14ac:dyDescent="0.35">
      <c r="A160" t="s">
        <v>361</v>
      </c>
      <c r="B160" t="s">
        <v>362</v>
      </c>
      <c r="C160" t="s">
        <v>32</v>
      </c>
      <c r="D160" t="s">
        <v>25</v>
      </c>
      <c r="E160">
        <v>2031</v>
      </c>
      <c r="F160">
        <v>7</v>
      </c>
      <c r="G160">
        <v>75.599999999999994</v>
      </c>
      <c r="H160">
        <v>1039</v>
      </c>
      <c r="I160">
        <v>23.6</v>
      </c>
      <c r="J160">
        <v>79.3</v>
      </c>
      <c r="K160">
        <v>21.74</v>
      </c>
      <c r="L160">
        <v>26</v>
      </c>
      <c r="M160" t="s">
        <v>34</v>
      </c>
      <c r="N160" t="s">
        <v>34</v>
      </c>
      <c r="O160" t="s">
        <v>34</v>
      </c>
      <c r="P160" t="s">
        <v>52</v>
      </c>
      <c r="Q160" t="s">
        <v>65</v>
      </c>
      <c r="R160">
        <v>-6.5</v>
      </c>
      <c r="S160">
        <v>-2002.8</v>
      </c>
      <c r="T160">
        <v>23.5</v>
      </c>
      <c r="U160">
        <v>10</v>
      </c>
      <c r="V160">
        <v>8</v>
      </c>
    </row>
    <row r="161" spans="1:22" x14ac:dyDescent="0.35">
      <c r="A161" t="s">
        <v>363</v>
      </c>
      <c r="B161" t="s">
        <v>364</v>
      </c>
      <c r="C161" t="s">
        <v>24</v>
      </c>
      <c r="D161" t="s">
        <v>46</v>
      </c>
      <c r="E161">
        <v>2030</v>
      </c>
      <c r="F161">
        <v>522.5</v>
      </c>
      <c r="G161">
        <v>45.7</v>
      </c>
      <c r="H161">
        <v>2574.8000000000002</v>
      </c>
      <c r="I161">
        <v>483.1</v>
      </c>
      <c r="J161">
        <v>108.6</v>
      </c>
      <c r="K161">
        <v>910.34</v>
      </c>
      <c r="L161">
        <v>29</v>
      </c>
      <c r="M161" t="s">
        <v>27</v>
      </c>
      <c r="N161" t="s">
        <v>27</v>
      </c>
      <c r="O161" t="s">
        <v>26</v>
      </c>
      <c r="P161" t="s">
        <v>28</v>
      </c>
      <c r="Q161" t="s">
        <v>65</v>
      </c>
      <c r="R161">
        <v>13.5</v>
      </c>
      <c r="S161">
        <v>5579.8</v>
      </c>
      <c r="T161">
        <v>6.9</v>
      </c>
      <c r="U161">
        <v>776</v>
      </c>
      <c r="V161">
        <v>8</v>
      </c>
    </row>
    <row r="162" spans="1:22" x14ac:dyDescent="0.35">
      <c r="A162" t="s">
        <v>365</v>
      </c>
      <c r="B162" t="s">
        <v>366</v>
      </c>
      <c r="C162" t="s">
        <v>62</v>
      </c>
      <c r="D162" t="s">
        <v>46</v>
      </c>
      <c r="E162">
        <v>2032</v>
      </c>
      <c r="F162">
        <v>460.6</v>
      </c>
      <c r="G162">
        <v>21</v>
      </c>
      <c r="H162">
        <v>499.5</v>
      </c>
      <c r="I162">
        <v>14.9</v>
      </c>
      <c r="J162">
        <v>9.4</v>
      </c>
      <c r="K162">
        <v>456.14</v>
      </c>
      <c r="L162">
        <v>27</v>
      </c>
      <c r="M162" t="s">
        <v>26</v>
      </c>
      <c r="N162" t="s">
        <v>27</v>
      </c>
      <c r="O162" t="s">
        <v>27</v>
      </c>
      <c r="P162" t="s">
        <v>28</v>
      </c>
      <c r="Q162" t="s">
        <v>29</v>
      </c>
      <c r="R162">
        <v>0.8</v>
      </c>
      <c r="S162">
        <v>-397.7</v>
      </c>
      <c r="T162">
        <v>90.5</v>
      </c>
      <c r="U162">
        <v>306</v>
      </c>
      <c r="V162">
        <v>1</v>
      </c>
    </row>
    <row r="163" spans="1:22" x14ac:dyDescent="0.35">
      <c r="A163" t="s">
        <v>367</v>
      </c>
      <c r="B163" t="s">
        <v>368</v>
      </c>
      <c r="C163" t="s">
        <v>24</v>
      </c>
      <c r="D163" t="s">
        <v>46</v>
      </c>
      <c r="E163">
        <v>2035</v>
      </c>
      <c r="F163">
        <v>964.3</v>
      </c>
      <c r="G163">
        <v>53.5</v>
      </c>
      <c r="H163">
        <v>2484.6999999999998</v>
      </c>
      <c r="I163">
        <v>508.7</v>
      </c>
      <c r="J163">
        <v>69.599999999999994</v>
      </c>
      <c r="K163">
        <v>2064.77</v>
      </c>
      <c r="L163">
        <v>26</v>
      </c>
      <c r="M163" t="s">
        <v>26</v>
      </c>
      <c r="N163" t="s">
        <v>26</v>
      </c>
      <c r="O163" t="s">
        <v>34</v>
      </c>
      <c r="P163" t="s">
        <v>35</v>
      </c>
      <c r="Q163" t="s">
        <v>47</v>
      </c>
      <c r="R163">
        <v>17.7</v>
      </c>
      <c r="S163">
        <v>5024</v>
      </c>
      <c r="T163">
        <v>5.7</v>
      </c>
      <c r="U163">
        <v>368</v>
      </c>
      <c r="V163">
        <v>6</v>
      </c>
    </row>
    <row r="164" spans="1:22" x14ac:dyDescent="0.35">
      <c r="A164" t="s">
        <v>369</v>
      </c>
      <c r="B164" t="s">
        <v>370</v>
      </c>
      <c r="C164" t="s">
        <v>120</v>
      </c>
      <c r="D164" t="s">
        <v>46</v>
      </c>
      <c r="E164">
        <v>2030</v>
      </c>
      <c r="F164">
        <v>413</v>
      </c>
      <c r="G164">
        <v>43.1</v>
      </c>
      <c r="H164">
        <v>1094.9000000000001</v>
      </c>
      <c r="I164">
        <v>152.4</v>
      </c>
      <c r="J164">
        <v>71.400000000000006</v>
      </c>
      <c r="K164">
        <v>961.21</v>
      </c>
      <c r="L164">
        <v>18</v>
      </c>
      <c r="M164" t="s">
        <v>26</v>
      </c>
      <c r="N164" t="s">
        <v>27</v>
      </c>
      <c r="O164" t="s">
        <v>26</v>
      </c>
      <c r="P164" t="s">
        <v>28</v>
      </c>
      <c r="Q164" t="s">
        <v>29</v>
      </c>
      <c r="R164">
        <v>6.6</v>
      </c>
      <c r="S164">
        <v>17.899999999999999</v>
      </c>
      <c r="T164">
        <v>13.5</v>
      </c>
      <c r="U164">
        <v>152</v>
      </c>
      <c r="V164">
        <v>8</v>
      </c>
    </row>
    <row r="165" spans="1:22" x14ac:dyDescent="0.35">
      <c r="A165" t="s">
        <v>371</v>
      </c>
      <c r="B165" t="s">
        <v>372</v>
      </c>
      <c r="C165" t="s">
        <v>24</v>
      </c>
      <c r="D165" t="s">
        <v>25</v>
      </c>
      <c r="E165">
        <v>2031</v>
      </c>
      <c r="F165">
        <v>1146.3</v>
      </c>
      <c r="G165">
        <v>46.4</v>
      </c>
      <c r="H165">
        <v>2390.6</v>
      </c>
      <c r="I165">
        <v>46.2</v>
      </c>
      <c r="J165">
        <v>105.3</v>
      </c>
      <c r="K165">
        <v>1744.44</v>
      </c>
      <c r="L165">
        <v>28</v>
      </c>
      <c r="M165" t="s">
        <v>34</v>
      </c>
      <c r="N165" t="s">
        <v>26</v>
      </c>
      <c r="O165" t="s">
        <v>26</v>
      </c>
      <c r="P165" t="s">
        <v>28</v>
      </c>
      <c r="Q165" t="s">
        <v>36</v>
      </c>
      <c r="R165">
        <v>-1.7</v>
      </c>
      <c r="S165">
        <v>-3385.4</v>
      </c>
      <c r="T165">
        <v>46.3</v>
      </c>
      <c r="U165">
        <v>1297</v>
      </c>
      <c r="V165">
        <v>7</v>
      </c>
    </row>
    <row r="166" spans="1:22" x14ac:dyDescent="0.35">
      <c r="A166" t="s">
        <v>373</v>
      </c>
      <c r="B166" t="s">
        <v>374</v>
      </c>
      <c r="C166" t="s">
        <v>43</v>
      </c>
      <c r="D166" t="s">
        <v>46</v>
      </c>
      <c r="E166">
        <v>2032</v>
      </c>
      <c r="F166">
        <v>297.8</v>
      </c>
      <c r="G166">
        <v>27.3</v>
      </c>
      <c r="H166">
        <v>839</v>
      </c>
      <c r="I166">
        <v>184.7</v>
      </c>
      <c r="J166">
        <v>43.5</v>
      </c>
      <c r="K166">
        <v>74.930000000000007</v>
      </c>
      <c r="L166">
        <v>16</v>
      </c>
      <c r="M166" t="s">
        <v>34</v>
      </c>
      <c r="N166" t="s">
        <v>27</v>
      </c>
      <c r="O166" t="s">
        <v>27</v>
      </c>
      <c r="P166" t="s">
        <v>35</v>
      </c>
      <c r="Q166" t="s">
        <v>47</v>
      </c>
      <c r="R166">
        <v>15.9</v>
      </c>
      <c r="S166">
        <v>878.7</v>
      </c>
      <c r="T166">
        <v>5.9</v>
      </c>
      <c r="U166">
        <v>308</v>
      </c>
      <c r="V166">
        <v>4</v>
      </c>
    </row>
    <row r="167" spans="1:22" x14ac:dyDescent="0.35">
      <c r="A167" t="s">
        <v>375</v>
      </c>
      <c r="B167" t="s">
        <v>376</v>
      </c>
      <c r="C167" t="s">
        <v>24</v>
      </c>
      <c r="D167" t="s">
        <v>33</v>
      </c>
      <c r="E167">
        <v>2032</v>
      </c>
      <c r="F167">
        <v>691.3</v>
      </c>
      <c r="G167">
        <v>45.8</v>
      </c>
      <c r="H167">
        <v>2218.3000000000002</v>
      </c>
      <c r="I167">
        <v>99</v>
      </c>
      <c r="J167">
        <v>62.2</v>
      </c>
      <c r="K167">
        <v>1925.07</v>
      </c>
      <c r="L167">
        <v>30</v>
      </c>
      <c r="M167" t="s">
        <v>34</v>
      </c>
      <c r="N167" t="s">
        <v>26</v>
      </c>
      <c r="O167" t="s">
        <v>26</v>
      </c>
      <c r="P167" t="s">
        <v>35</v>
      </c>
      <c r="Q167" t="s">
        <v>65</v>
      </c>
      <c r="R167">
        <v>1.8</v>
      </c>
      <c r="S167">
        <v>-1437.1</v>
      </c>
      <c r="T167">
        <v>60.3</v>
      </c>
      <c r="U167">
        <v>285</v>
      </c>
      <c r="V167">
        <v>4</v>
      </c>
    </row>
    <row r="168" spans="1:22" x14ac:dyDescent="0.35">
      <c r="A168" t="s">
        <v>377</v>
      </c>
      <c r="B168" t="s">
        <v>378</v>
      </c>
      <c r="C168" t="s">
        <v>43</v>
      </c>
      <c r="D168" t="s">
        <v>40</v>
      </c>
      <c r="E168">
        <v>2033</v>
      </c>
      <c r="F168">
        <v>153.4</v>
      </c>
      <c r="G168">
        <v>15.5</v>
      </c>
      <c r="H168">
        <v>670.1</v>
      </c>
      <c r="I168">
        <v>13.9</v>
      </c>
      <c r="J168">
        <v>21.7</v>
      </c>
      <c r="K168">
        <v>74.540000000000006</v>
      </c>
      <c r="L168">
        <v>20</v>
      </c>
      <c r="M168" t="s">
        <v>26</v>
      </c>
      <c r="N168" t="s">
        <v>27</v>
      </c>
      <c r="O168" t="s">
        <v>26</v>
      </c>
      <c r="P168" t="s">
        <v>52</v>
      </c>
      <c r="Q168" t="s">
        <v>36</v>
      </c>
      <c r="R168">
        <v>-0.4</v>
      </c>
      <c r="S168">
        <v>-791.9</v>
      </c>
      <c r="T168">
        <v>47.6</v>
      </c>
      <c r="U168">
        <v>193</v>
      </c>
      <c r="V168">
        <v>4</v>
      </c>
    </row>
    <row r="169" spans="1:22" x14ac:dyDescent="0.35">
      <c r="A169" t="s">
        <v>379</v>
      </c>
      <c r="B169" t="s">
        <v>380</v>
      </c>
      <c r="C169" t="s">
        <v>97</v>
      </c>
      <c r="D169" t="s">
        <v>57</v>
      </c>
      <c r="E169">
        <v>2030</v>
      </c>
      <c r="F169">
        <v>134.6</v>
      </c>
      <c r="G169">
        <v>26</v>
      </c>
      <c r="H169">
        <v>257.39999999999998</v>
      </c>
      <c r="I169">
        <v>40.200000000000003</v>
      </c>
      <c r="J169">
        <v>7.6</v>
      </c>
      <c r="K169">
        <v>96.01</v>
      </c>
      <c r="L169">
        <v>19</v>
      </c>
      <c r="M169" t="s">
        <v>27</v>
      </c>
      <c r="N169" t="s">
        <v>27</v>
      </c>
      <c r="O169" t="s">
        <v>26</v>
      </c>
      <c r="P169" t="s">
        <v>35</v>
      </c>
      <c r="Q169" t="s">
        <v>29</v>
      </c>
      <c r="R169">
        <v>13.6</v>
      </c>
      <c r="S169">
        <v>104.8</v>
      </c>
      <c r="T169">
        <v>7.9</v>
      </c>
      <c r="U169">
        <v>135</v>
      </c>
      <c r="V169">
        <v>7</v>
      </c>
    </row>
    <row r="170" spans="1:22" x14ac:dyDescent="0.35">
      <c r="A170" t="s">
        <v>381</v>
      </c>
      <c r="B170" t="s">
        <v>382</v>
      </c>
      <c r="C170" t="s">
        <v>24</v>
      </c>
      <c r="D170" t="s">
        <v>57</v>
      </c>
      <c r="E170">
        <v>2032</v>
      </c>
      <c r="F170">
        <v>607.70000000000005</v>
      </c>
      <c r="G170">
        <v>41.7</v>
      </c>
      <c r="H170">
        <v>2027.9</v>
      </c>
      <c r="I170">
        <v>308</v>
      </c>
      <c r="J170">
        <v>58.1</v>
      </c>
      <c r="K170">
        <v>642.04999999999995</v>
      </c>
      <c r="L170">
        <v>25</v>
      </c>
      <c r="M170" t="s">
        <v>27</v>
      </c>
      <c r="N170" t="s">
        <v>26</v>
      </c>
      <c r="O170" t="s">
        <v>26</v>
      </c>
      <c r="P170" t="s">
        <v>35</v>
      </c>
      <c r="Q170" t="s">
        <v>36</v>
      </c>
      <c r="R170">
        <v>12.7</v>
      </c>
      <c r="S170">
        <v>2061.6</v>
      </c>
      <c r="T170">
        <v>8.1</v>
      </c>
      <c r="U170">
        <v>277</v>
      </c>
      <c r="V170">
        <v>9</v>
      </c>
    </row>
    <row r="171" spans="1:22" x14ac:dyDescent="0.35">
      <c r="A171" t="s">
        <v>383</v>
      </c>
      <c r="B171" t="s">
        <v>384</v>
      </c>
      <c r="C171" t="s">
        <v>97</v>
      </c>
      <c r="D171" t="s">
        <v>33</v>
      </c>
      <c r="E171">
        <v>2028</v>
      </c>
      <c r="F171">
        <v>91.2</v>
      </c>
      <c r="G171">
        <v>27.7</v>
      </c>
      <c r="H171">
        <v>245.4</v>
      </c>
      <c r="I171">
        <v>18.2</v>
      </c>
      <c r="J171">
        <v>8</v>
      </c>
      <c r="K171">
        <v>57.6</v>
      </c>
      <c r="L171">
        <v>19</v>
      </c>
      <c r="M171" t="s">
        <v>26</v>
      </c>
      <c r="N171" t="s">
        <v>27</v>
      </c>
      <c r="O171" t="s">
        <v>26</v>
      </c>
      <c r="P171" t="s">
        <v>28</v>
      </c>
      <c r="Q171" t="s">
        <v>65</v>
      </c>
      <c r="R171">
        <v>3.9</v>
      </c>
      <c r="S171">
        <v>-96.9</v>
      </c>
      <c r="T171">
        <v>24.1</v>
      </c>
      <c r="U171">
        <v>67</v>
      </c>
      <c r="V171">
        <v>4</v>
      </c>
    </row>
    <row r="172" spans="1:22" x14ac:dyDescent="0.35">
      <c r="A172" t="s">
        <v>385</v>
      </c>
      <c r="B172" t="s">
        <v>386</v>
      </c>
      <c r="C172" t="s">
        <v>39</v>
      </c>
      <c r="D172" t="s">
        <v>25</v>
      </c>
      <c r="E172">
        <v>2033</v>
      </c>
      <c r="F172">
        <v>112.4</v>
      </c>
      <c r="G172">
        <v>45.7</v>
      </c>
      <c r="H172">
        <v>706.8</v>
      </c>
      <c r="I172">
        <v>23</v>
      </c>
      <c r="J172">
        <v>26.2</v>
      </c>
      <c r="K172">
        <v>51.3</v>
      </c>
      <c r="L172">
        <v>25</v>
      </c>
      <c r="M172" t="s">
        <v>27</v>
      </c>
      <c r="N172" t="s">
        <v>27</v>
      </c>
      <c r="O172" t="s">
        <v>26</v>
      </c>
      <c r="P172" t="s">
        <v>35</v>
      </c>
      <c r="Q172" t="s">
        <v>65</v>
      </c>
      <c r="R172">
        <v>-1.2</v>
      </c>
      <c r="S172">
        <v>-761.4</v>
      </c>
      <c r="T172">
        <v>47.2</v>
      </c>
      <c r="U172">
        <v>131</v>
      </c>
      <c r="V172">
        <v>3</v>
      </c>
    </row>
    <row r="173" spans="1:22" x14ac:dyDescent="0.35">
      <c r="A173" t="s">
        <v>387</v>
      </c>
      <c r="B173" t="s">
        <v>388</v>
      </c>
      <c r="C173" t="s">
        <v>32</v>
      </c>
      <c r="D173" t="s">
        <v>40</v>
      </c>
      <c r="E173">
        <v>2033</v>
      </c>
      <c r="F173">
        <v>3.9</v>
      </c>
      <c r="G173">
        <v>71.900000000000006</v>
      </c>
      <c r="H173">
        <v>720.8</v>
      </c>
      <c r="I173">
        <v>33.299999999999997</v>
      </c>
      <c r="J173">
        <v>35</v>
      </c>
      <c r="K173">
        <v>17.38</v>
      </c>
      <c r="L173">
        <v>23</v>
      </c>
      <c r="M173" t="s">
        <v>34</v>
      </c>
      <c r="N173" t="s">
        <v>34</v>
      </c>
      <c r="O173" t="s">
        <v>26</v>
      </c>
      <c r="P173" t="s">
        <v>52</v>
      </c>
      <c r="Q173" t="s">
        <v>65</v>
      </c>
      <c r="R173">
        <v>0.5</v>
      </c>
      <c r="S173">
        <v>-751</v>
      </c>
      <c r="T173">
        <v>56.1</v>
      </c>
      <c r="U173">
        <v>10</v>
      </c>
      <c r="V173">
        <v>5</v>
      </c>
    </row>
    <row r="174" spans="1:22" x14ac:dyDescent="0.35">
      <c r="A174" t="s">
        <v>389</v>
      </c>
      <c r="B174" t="s">
        <v>390</v>
      </c>
      <c r="C174" t="s">
        <v>32</v>
      </c>
      <c r="D174" t="s">
        <v>57</v>
      </c>
      <c r="E174">
        <v>2031</v>
      </c>
      <c r="F174">
        <v>0.6</v>
      </c>
      <c r="G174">
        <v>71.3</v>
      </c>
      <c r="H174">
        <v>2617.4</v>
      </c>
      <c r="I174">
        <v>152.9</v>
      </c>
      <c r="J174">
        <v>157.80000000000001</v>
      </c>
      <c r="K174">
        <v>1.74</v>
      </c>
      <c r="L174">
        <v>24</v>
      </c>
      <c r="M174" t="s">
        <v>26</v>
      </c>
      <c r="N174" t="s">
        <v>26</v>
      </c>
      <c r="O174" t="s">
        <v>27</v>
      </c>
      <c r="P174" t="s">
        <v>52</v>
      </c>
      <c r="Q174" t="s">
        <v>36</v>
      </c>
      <c r="R174">
        <v>-0.6</v>
      </c>
      <c r="S174">
        <v>-2699.9</v>
      </c>
      <c r="T174">
        <v>23.3</v>
      </c>
      <c r="U174">
        <v>10</v>
      </c>
      <c r="V174">
        <v>8</v>
      </c>
    </row>
    <row r="175" spans="1:22" x14ac:dyDescent="0.35">
      <c r="A175" t="s">
        <v>391</v>
      </c>
      <c r="B175" t="s">
        <v>392</v>
      </c>
      <c r="C175" t="s">
        <v>24</v>
      </c>
      <c r="D175" t="s">
        <v>33</v>
      </c>
      <c r="E175">
        <v>2028</v>
      </c>
      <c r="F175">
        <v>617.9</v>
      </c>
      <c r="G175">
        <v>39.9</v>
      </c>
      <c r="H175">
        <v>2970</v>
      </c>
      <c r="I175">
        <v>403.6</v>
      </c>
      <c r="J175">
        <v>143</v>
      </c>
      <c r="K175">
        <v>1575.33</v>
      </c>
      <c r="L175">
        <v>27</v>
      </c>
      <c r="M175" t="s">
        <v>27</v>
      </c>
      <c r="N175" t="s">
        <v>26</v>
      </c>
      <c r="O175" t="s">
        <v>34</v>
      </c>
      <c r="P175" t="s">
        <v>35</v>
      </c>
      <c r="Q175" t="s">
        <v>47</v>
      </c>
      <c r="R175">
        <v>9.3000000000000007</v>
      </c>
      <c r="S175">
        <v>1135</v>
      </c>
      <c r="T175">
        <v>11.4</v>
      </c>
      <c r="U175">
        <v>231</v>
      </c>
      <c r="V175">
        <v>7</v>
      </c>
    </row>
    <row r="176" spans="1:22" x14ac:dyDescent="0.35">
      <c r="A176" t="s">
        <v>393</v>
      </c>
      <c r="B176" t="s">
        <v>394</v>
      </c>
      <c r="C176" t="s">
        <v>24</v>
      </c>
      <c r="D176" t="s">
        <v>25</v>
      </c>
      <c r="E176">
        <v>2028</v>
      </c>
      <c r="F176">
        <v>1019</v>
      </c>
      <c r="G176">
        <v>46.1</v>
      </c>
      <c r="H176">
        <v>2887.4</v>
      </c>
      <c r="I176">
        <v>461.5</v>
      </c>
      <c r="J176">
        <v>140.4</v>
      </c>
      <c r="K176">
        <v>2123.36</v>
      </c>
      <c r="L176">
        <v>30</v>
      </c>
      <c r="M176" t="s">
        <v>27</v>
      </c>
      <c r="N176" t="s">
        <v>27</v>
      </c>
      <c r="O176" t="s">
        <v>27</v>
      </c>
      <c r="P176" t="s">
        <v>52</v>
      </c>
      <c r="Q176" t="s">
        <v>65</v>
      </c>
      <c r="R176">
        <v>11.8</v>
      </c>
      <c r="S176">
        <v>3734.8</v>
      </c>
      <c r="T176">
        <v>9</v>
      </c>
      <c r="U176">
        <v>449</v>
      </c>
      <c r="V176">
        <v>10</v>
      </c>
    </row>
    <row r="177" spans="1:22" x14ac:dyDescent="0.35">
      <c r="A177" t="s">
        <v>395</v>
      </c>
      <c r="B177" t="s">
        <v>396</v>
      </c>
      <c r="C177" t="s">
        <v>62</v>
      </c>
      <c r="D177" t="s">
        <v>33</v>
      </c>
      <c r="E177">
        <v>2028</v>
      </c>
      <c r="F177">
        <v>358.5</v>
      </c>
      <c r="G177">
        <v>15.2</v>
      </c>
      <c r="H177">
        <v>288</v>
      </c>
      <c r="I177">
        <v>32.299999999999997</v>
      </c>
      <c r="J177">
        <v>7.4</v>
      </c>
      <c r="K177">
        <v>177.93</v>
      </c>
      <c r="L177">
        <v>26</v>
      </c>
      <c r="M177" t="s">
        <v>27</v>
      </c>
      <c r="N177" t="s">
        <v>26</v>
      </c>
      <c r="O177" t="s">
        <v>34</v>
      </c>
      <c r="P177" t="s">
        <v>28</v>
      </c>
      <c r="Q177" t="s">
        <v>47</v>
      </c>
      <c r="R177">
        <v>8.1999999999999993</v>
      </c>
      <c r="S177">
        <v>160.4</v>
      </c>
      <c r="T177">
        <v>11.6</v>
      </c>
      <c r="U177">
        <v>228</v>
      </c>
      <c r="V177">
        <v>1</v>
      </c>
    </row>
    <row r="178" spans="1:22" x14ac:dyDescent="0.35">
      <c r="A178" t="s">
        <v>397</v>
      </c>
      <c r="B178" t="s">
        <v>398</v>
      </c>
      <c r="C178" t="s">
        <v>97</v>
      </c>
      <c r="D178" t="s">
        <v>57</v>
      </c>
      <c r="E178">
        <v>2034</v>
      </c>
      <c r="F178">
        <v>148.4</v>
      </c>
      <c r="G178">
        <v>30.2</v>
      </c>
      <c r="H178">
        <v>187.8</v>
      </c>
      <c r="I178">
        <v>16.100000000000001</v>
      </c>
      <c r="J178">
        <v>3.9</v>
      </c>
      <c r="K178">
        <v>75.459999999999994</v>
      </c>
      <c r="L178">
        <v>18</v>
      </c>
      <c r="M178" t="s">
        <v>26</v>
      </c>
      <c r="N178" t="s">
        <v>27</v>
      </c>
      <c r="O178" t="s">
        <v>27</v>
      </c>
      <c r="P178" t="s">
        <v>35</v>
      </c>
      <c r="Q178" t="s">
        <v>65</v>
      </c>
      <c r="R178">
        <v>6.6</v>
      </c>
      <c r="S178">
        <v>-18.600000000000001</v>
      </c>
      <c r="T178">
        <v>15.4</v>
      </c>
      <c r="U178">
        <v>172</v>
      </c>
      <c r="V178">
        <v>6</v>
      </c>
    </row>
    <row r="179" spans="1:22" x14ac:dyDescent="0.35">
      <c r="A179" t="s">
        <v>399</v>
      </c>
      <c r="B179" t="s">
        <v>400</v>
      </c>
      <c r="C179" t="s">
        <v>43</v>
      </c>
      <c r="D179" t="s">
        <v>78</v>
      </c>
      <c r="E179">
        <v>2030</v>
      </c>
      <c r="F179">
        <v>169.7</v>
      </c>
      <c r="G179">
        <v>26</v>
      </c>
      <c r="H179">
        <v>360.3</v>
      </c>
      <c r="I179">
        <v>21.9</v>
      </c>
      <c r="J179">
        <v>14.5</v>
      </c>
      <c r="K179">
        <v>104.57</v>
      </c>
      <c r="L179">
        <v>16</v>
      </c>
      <c r="M179" t="s">
        <v>27</v>
      </c>
      <c r="N179" t="s">
        <v>27</v>
      </c>
      <c r="O179" t="s">
        <v>26</v>
      </c>
      <c r="P179" t="s">
        <v>28</v>
      </c>
      <c r="Q179" t="s">
        <v>65</v>
      </c>
      <c r="R179">
        <v>1.7</v>
      </c>
      <c r="S179">
        <v>-270.7</v>
      </c>
      <c r="T179">
        <v>48.5</v>
      </c>
      <c r="U179">
        <v>211</v>
      </c>
      <c r="V179">
        <v>2</v>
      </c>
    </row>
    <row r="180" spans="1:22" x14ac:dyDescent="0.35">
      <c r="A180" t="s">
        <v>401</v>
      </c>
      <c r="B180" t="s">
        <v>402</v>
      </c>
      <c r="C180" t="s">
        <v>32</v>
      </c>
      <c r="D180" t="s">
        <v>40</v>
      </c>
      <c r="E180">
        <v>2027</v>
      </c>
      <c r="F180">
        <v>3.4</v>
      </c>
      <c r="G180">
        <v>62.7</v>
      </c>
      <c r="H180">
        <v>2580.8000000000002</v>
      </c>
      <c r="I180">
        <v>2</v>
      </c>
      <c r="J180">
        <v>135.9</v>
      </c>
      <c r="K180">
        <v>13.28</v>
      </c>
      <c r="L180">
        <v>24</v>
      </c>
      <c r="M180" t="s">
        <v>27</v>
      </c>
      <c r="N180" t="s">
        <v>34</v>
      </c>
      <c r="O180" t="s">
        <v>26</v>
      </c>
      <c r="P180" t="s">
        <v>52</v>
      </c>
      <c r="Q180" t="s">
        <v>65</v>
      </c>
      <c r="R180">
        <v>-6</v>
      </c>
      <c r="S180">
        <v>-5177.3999999999996</v>
      </c>
      <c r="T180">
        <v>21.6</v>
      </c>
      <c r="U180">
        <v>10</v>
      </c>
      <c r="V180">
        <v>8</v>
      </c>
    </row>
    <row r="181" spans="1:22" x14ac:dyDescent="0.35">
      <c r="A181" t="s">
        <v>403</v>
      </c>
      <c r="B181" t="s">
        <v>404</v>
      </c>
      <c r="C181" t="s">
        <v>120</v>
      </c>
      <c r="D181" t="s">
        <v>33</v>
      </c>
      <c r="E181">
        <v>2028</v>
      </c>
      <c r="F181">
        <v>398.1</v>
      </c>
      <c r="G181">
        <v>40.9</v>
      </c>
      <c r="H181">
        <v>1571.1</v>
      </c>
      <c r="I181">
        <v>368.8</v>
      </c>
      <c r="J181">
        <v>115.9</v>
      </c>
      <c r="K181">
        <v>672.26</v>
      </c>
      <c r="L181">
        <v>23</v>
      </c>
      <c r="M181" t="s">
        <v>27</v>
      </c>
      <c r="N181" t="s">
        <v>27</v>
      </c>
      <c r="O181" t="s">
        <v>26</v>
      </c>
      <c r="P181" t="s">
        <v>35</v>
      </c>
      <c r="Q181" t="s">
        <v>65</v>
      </c>
      <c r="R181">
        <v>16.5</v>
      </c>
      <c r="S181">
        <v>2126.1999999999998</v>
      </c>
      <c r="T181">
        <v>6.2</v>
      </c>
      <c r="U181">
        <v>240</v>
      </c>
      <c r="V181">
        <v>5</v>
      </c>
    </row>
    <row r="182" spans="1:22" x14ac:dyDescent="0.35">
      <c r="A182" t="s">
        <v>405</v>
      </c>
      <c r="B182" t="s">
        <v>406</v>
      </c>
      <c r="C182" t="s">
        <v>24</v>
      </c>
      <c r="D182" t="s">
        <v>33</v>
      </c>
      <c r="E182">
        <v>2033</v>
      </c>
      <c r="F182">
        <v>843.1</v>
      </c>
      <c r="G182">
        <v>43.6</v>
      </c>
      <c r="H182">
        <v>1544.4</v>
      </c>
      <c r="I182">
        <v>260.39999999999998</v>
      </c>
      <c r="J182">
        <v>63.3</v>
      </c>
      <c r="K182">
        <v>1902.95</v>
      </c>
      <c r="L182">
        <v>27</v>
      </c>
      <c r="M182" t="s">
        <v>27</v>
      </c>
      <c r="N182" t="s">
        <v>27</v>
      </c>
      <c r="O182" t="s">
        <v>26</v>
      </c>
      <c r="P182" t="s">
        <v>35</v>
      </c>
      <c r="Q182" t="s">
        <v>29</v>
      </c>
      <c r="R182">
        <v>11.7</v>
      </c>
      <c r="S182">
        <v>1670.3</v>
      </c>
      <c r="T182">
        <v>7.8</v>
      </c>
      <c r="U182">
        <v>377</v>
      </c>
      <c r="V182">
        <v>2</v>
      </c>
    </row>
    <row r="183" spans="1:22" x14ac:dyDescent="0.35">
      <c r="A183" t="s">
        <v>407</v>
      </c>
      <c r="B183" t="s">
        <v>408</v>
      </c>
      <c r="C183" t="s">
        <v>62</v>
      </c>
      <c r="D183" t="s">
        <v>33</v>
      </c>
      <c r="E183">
        <v>2027</v>
      </c>
      <c r="F183">
        <v>372.5</v>
      </c>
      <c r="G183">
        <v>12.3</v>
      </c>
      <c r="H183">
        <v>288.89999999999998</v>
      </c>
      <c r="I183">
        <v>25.9</v>
      </c>
      <c r="J183">
        <v>5.6</v>
      </c>
      <c r="K183">
        <v>89.31</v>
      </c>
      <c r="L183">
        <v>30</v>
      </c>
      <c r="M183" t="s">
        <v>27</v>
      </c>
      <c r="N183" t="s">
        <v>34</v>
      </c>
      <c r="O183" t="s">
        <v>27</v>
      </c>
      <c r="P183" t="s">
        <v>28</v>
      </c>
      <c r="Q183" t="s">
        <v>29</v>
      </c>
      <c r="R183">
        <v>7.8</v>
      </c>
      <c r="S183">
        <v>141.1</v>
      </c>
      <c r="T183">
        <v>14.2</v>
      </c>
      <c r="U183">
        <v>565</v>
      </c>
      <c r="V183">
        <v>3</v>
      </c>
    </row>
    <row r="184" spans="1:22" x14ac:dyDescent="0.35">
      <c r="A184" t="s">
        <v>409</v>
      </c>
      <c r="B184" t="s">
        <v>410</v>
      </c>
      <c r="C184" t="s">
        <v>62</v>
      </c>
      <c r="D184" t="s">
        <v>33</v>
      </c>
      <c r="E184">
        <v>2035</v>
      </c>
      <c r="F184">
        <v>191.4</v>
      </c>
      <c r="G184">
        <v>16.5</v>
      </c>
      <c r="H184">
        <v>376.8</v>
      </c>
      <c r="I184">
        <v>39.5</v>
      </c>
      <c r="J184">
        <v>7.3</v>
      </c>
      <c r="K184">
        <v>116.98</v>
      </c>
      <c r="L184">
        <v>25</v>
      </c>
      <c r="M184" t="s">
        <v>27</v>
      </c>
      <c r="N184" t="s">
        <v>26</v>
      </c>
      <c r="O184" t="s">
        <v>27</v>
      </c>
      <c r="P184" t="s">
        <v>35</v>
      </c>
      <c r="Q184" t="s">
        <v>65</v>
      </c>
      <c r="R184">
        <v>8.4</v>
      </c>
      <c r="S184">
        <v>222.5</v>
      </c>
      <c r="T184">
        <v>11.7</v>
      </c>
      <c r="U184">
        <v>284</v>
      </c>
      <c r="V184">
        <v>2</v>
      </c>
    </row>
    <row r="185" spans="1:22" x14ac:dyDescent="0.35">
      <c r="A185" t="s">
        <v>411</v>
      </c>
      <c r="B185" t="s">
        <v>412</v>
      </c>
      <c r="C185" t="s">
        <v>32</v>
      </c>
      <c r="D185" t="s">
        <v>40</v>
      </c>
      <c r="E185">
        <v>2030</v>
      </c>
      <c r="F185">
        <v>2.2000000000000002</v>
      </c>
      <c r="G185">
        <v>60</v>
      </c>
      <c r="H185">
        <v>1913</v>
      </c>
      <c r="I185">
        <v>205.7</v>
      </c>
      <c r="J185">
        <v>94.6</v>
      </c>
      <c r="K185">
        <v>6.33</v>
      </c>
      <c r="L185">
        <v>26</v>
      </c>
      <c r="M185" t="s">
        <v>34</v>
      </c>
      <c r="N185" t="s">
        <v>26</v>
      </c>
      <c r="O185" t="s">
        <v>27</v>
      </c>
      <c r="P185" t="s">
        <v>52</v>
      </c>
      <c r="Q185" t="s">
        <v>36</v>
      </c>
      <c r="R185">
        <v>6.8</v>
      </c>
      <c r="S185">
        <v>-165.8</v>
      </c>
      <c r="T185">
        <v>17.2</v>
      </c>
      <c r="U185">
        <v>10</v>
      </c>
      <c r="V185">
        <v>1</v>
      </c>
    </row>
    <row r="186" spans="1:22" x14ac:dyDescent="0.35">
      <c r="A186" t="s">
        <v>413</v>
      </c>
      <c r="B186" t="s">
        <v>414</v>
      </c>
      <c r="C186" t="s">
        <v>120</v>
      </c>
      <c r="D186" t="s">
        <v>78</v>
      </c>
      <c r="E186">
        <v>2031</v>
      </c>
      <c r="F186">
        <v>244.9</v>
      </c>
      <c r="G186">
        <v>66.099999999999994</v>
      </c>
      <c r="H186">
        <v>1573.7</v>
      </c>
      <c r="I186">
        <v>154.30000000000001</v>
      </c>
      <c r="J186">
        <v>117.4</v>
      </c>
      <c r="K186">
        <v>547</v>
      </c>
      <c r="L186">
        <v>24</v>
      </c>
      <c r="M186" t="s">
        <v>26</v>
      </c>
      <c r="N186" t="s">
        <v>27</v>
      </c>
      <c r="O186" t="s">
        <v>27</v>
      </c>
      <c r="P186" t="s">
        <v>35</v>
      </c>
      <c r="Q186" t="s">
        <v>47</v>
      </c>
      <c r="R186">
        <v>2.9</v>
      </c>
      <c r="S186">
        <v>-924.9</v>
      </c>
      <c r="T186">
        <v>42.7</v>
      </c>
      <c r="U186">
        <v>309</v>
      </c>
      <c r="V186">
        <v>1</v>
      </c>
    </row>
    <row r="187" spans="1:22" x14ac:dyDescent="0.35">
      <c r="A187" t="s">
        <v>415</v>
      </c>
      <c r="B187" t="s">
        <v>416</v>
      </c>
      <c r="C187" t="s">
        <v>43</v>
      </c>
      <c r="D187" t="s">
        <v>33</v>
      </c>
      <c r="E187">
        <v>2035</v>
      </c>
      <c r="F187">
        <v>163.30000000000001</v>
      </c>
      <c r="G187">
        <v>16.8</v>
      </c>
      <c r="H187">
        <v>107.3</v>
      </c>
      <c r="I187">
        <v>29.2</v>
      </c>
      <c r="J187">
        <v>3.8</v>
      </c>
      <c r="K187">
        <v>40.31</v>
      </c>
      <c r="L187">
        <v>18</v>
      </c>
      <c r="M187" t="s">
        <v>27</v>
      </c>
      <c r="N187" t="s">
        <v>26</v>
      </c>
      <c r="O187" t="s">
        <v>27</v>
      </c>
      <c r="P187" t="s">
        <v>35</v>
      </c>
      <c r="Q187" t="s">
        <v>36</v>
      </c>
      <c r="R187">
        <v>22.6</v>
      </c>
      <c r="S187">
        <v>218.8</v>
      </c>
      <c r="T187">
        <v>4.2</v>
      </c>
      <c r="U187">
        <v>164</v>
      </c>
      <c r="V187">
        <v>6</v>
      </c>
    </row>
    <row r="188" spans="1:22" x14ac:dyDescent="0.35">
      <c r="A188" t="s">
        <v>417</v>
      </c>
      <c r="B188" t="s">
        <v>418</v>
      </c>
      <c r="C188" t="s">
        <v>24</v>
      </c>
      <c r="D188" t="s">
        <v>46</v>
      </c>
      <c r="E188">
        <v>2035</v>
      </c>
      <c r="F188">
        <v>826.1</v>
      </c>
      <c r="G188">
        <v>39.799999999999997</v>
      </c>
      <c r="H188">
        <v>2982.3</v>
      </c>
      <c r="I188">
        <v>27.5</v>
      </c>
      <c r="J188">
        <v>74.7</v>
      </c>
      <c r="K188">
        <v>1574.49</v>
      </c>
      <c r="L188">
        <v>26</v>
      </c>
      <c r="M188" t="s">
        <v>34</v>
      </c>
      <c r="N188" t="s">
        <v>34</v>
      </c>
      <c r="O188" t="s">
        <v>27</v>
      </c>
      <c r="P188" t="s">
        <v>52</v>
      </c>
      <c r="Q188" t="s">
        <v>29</v>
      </c>
      <c r="R188">
        <v>-1.6</v>
      </c>
      <c r="S188">
        <v>-3923.5</v>
      </c>
      <c r="T188">
        <v>36.200000000000003</v>
      </c>
      <c r="U188">
        <v>497</v>
      </c>
      <c r="V188">
        <v>1</v>
      </c>
    </row>
    <row r="189" spans="1:22" x14ac:dyDescent="0.35">
      <c r="A189" t="s">
        <v>419</v>
      </c>
      <c r="B189" t="s">
        <v>420</v>
      </c>
      <c r="C189" t="s">
        <v>62</v>
      </c>
      <c r="D189" t="s">
        <v>25</v>
      </c>
      <c r="E189">
        <v>2028</v>
      </c>
      <c r="F189">
        <v>295</v>
      </c>
      <c r="G189">
        <v>16.899999999999999</v>
      </c>
      <c r="H189">
        <v>321.39999999999998</v>
      </c>
      <c r="I189">
        <v>39</v>
      </c>
      <c r="J189">
        <v>8.8000000000000007</v>
      </c>
      <c r="K189">
        <v>129.22</v>
      </c>
      <c r="L189">
        <v>27</v>
      </c>
      <c r="M189" t="s">
        <v>34</v>
      </c>
      <c r="N189" t="s">
        <v>26</v>
      </c>
      <c r="O189" t="s">
        <v>27</v>
      </c>
      <c r="P189" t="s">
        <v>35</v>
      </c>
      <c r="Q189" t="s">
        <v>29</v>
      </c>
      <c r="R189">
        <v>9.3000000000000007</v>
      </c>
      <c r="S189">
        <v>211.4</v>
      </c>
      <c r="T189">
        <v>10.6</v>
      </c>
      <c r="U189">
        <v>309</v>
      </c>
      <c r="V189">
        <v>5</v>
      </c>
    </row>
    <row r="190" spans="1:22" x14ac:dyDescent="0.35">
      <c r="A190" t="s">
        <v>421</v>
      </c>
      <c r="B190" t="s">
        <v>422</v>
      </c>
      <c r="C190" t="s">
        <v>24</v>
      </c>
      <c r="D190" t="s">
        <v>46</v>
      </c>
      <c r="E190">
        <v>2034</v>
      </c>
      <c r="F190">
        <v>1206.7</v>
      </c>
      <c r="G190">
        <v>49.3</v>
      </c>
      <c r="H190">
        <v>1114.9000000000001</v>
      </c>
      <c r="I190">
        <v>66.099999999999994</v>
      </c>
      <c r="J190">
        <v>54.4</v>
      </c>
      <c r="K190">
        <v>1704.77</v>
      </c>
      <c r="L190">
        <v>29</v>
      </c>
      <c r="M190" t="s">
        <v>26</v>
      </c>
      <c r="N190" t="s">
        <v>26</v>
      </c>
      <c r="O190" t="s">
        <v>34</v>
      </c>
      <c r="P190" t="s">
        <v>52</v>
      </c>
      <c r="Q190" t="s">
        <v>65</v>
      </c>
      <c r="R190">
        <v>0.9</v>
      </c>
      <c r="S190">
        <v>-857.3</v>
      </c>
      <c r="T190">
        <v>95.4</v>
      </c>
      <c r="U190">
        <v>715</v>
      </c>
      <c r="V190">
        <v>10</v>
      </c>
    </row>
    <row r="191" spans="1:22" x14ac:dyDescent="0.35">
      <c r="A191" t="s">
        <v>423</v>
      </c>
      <c r="B191" t="s">
        <v>424</v>
      </c>
      <c r="C191" t="s">
        <v>39</v>
      </c>
      <c r="D191" t="s">
        <v>46</v>
      </c>
      <c r="E191">
        <v>2033</v>
      </c>
      <c r="F191">
        <v>361.2</v>
      </c>
      <c r="G191">
        <v>36</v>
      </c>
      <c r="H191">
        <v>765.5</v>
      </c>
      <c r="I191">
        <v>108.9</v>
      </c>
      <c r="J191">
        <v>36.4</v>
      </c>
      <c r="K191">
        <v>121.33</v>
      </c>
      <c r="L191">
        <v>20</v>
      </c>
      <c r="M191" t="s">
        <v>26</v>
      </c>
      <c r="N191" t="s">
        <v>27</v>
      </c>
      <c r="O191" t="s">
        <v>26</v>
      </c>
      <c r="P191" t="s">
        <v>28</v>
      </c>
      <c r="Q191" t="s">
        <v>29</v>
      </c>
      <c r="R191">
        <v>9</v>
      </c>
      <c r="S191">
        <v>154.4</v>
      </c>
      <c r="T191">
        <v>10.6</v>
      </c>
      <c r="U191">
        <v>233</v>
      </c>
      <c r="V191">
        <v>4</v>
      </c>
    </row>
    <row r="192" spans="1:22" x14ac:dyDescent="0.35">
      <c r="A192" t="s">
        <v>425</v>
      </c>
      <c r="B192" t="s">
        <v>426</v>
      </c>
      <c r="C192" t="s">
        <v>32</v>
      </c>
      <c r="D192" t="s">
        <v>57</v>
      </c>
      <c r="E192">
        <v>2034</v>
      </c>
      <c r="F192">
        <v>3.5</v>
      </c>
      <c r="G192">
        <v>78.099999999999994</v>
      </c>
      <c r="H192">
        <v>2519.1</v>
      </c>
      <c r="I192">
        <v>194.1</v>
      </c>
      <c r="J192">
        <v>109.7</v>
      </c>
      <c r="K192">
        <v>14.57</v>
      </c>
      <c r="L192">
        <v>20</v>
      </c>
      <c r="M192" t="s">
        <v>26</v>
      </c>
      <c r="N192" t="s">
        <v>26</v>
      </c>
      <c r="O192" t="s">
        <v>27</v>
      </c>
      <c r="P192" t="s">
        <v>28</v>
      </c>
      <c r="Q192" t="s">
        <v>65</v>
      </c>
      <c r="R192">
        <v>2.2000000000000002</v>
      </c>
      <c r="S192">
        <v>-1459.7</v>
      </c>
      <c r="T192">
        <v>29.9</v>
      </c>
      <c r="U192">
        <v>10</v>
      </c>
      <c r="V192">
        <v>6</v>
      </c>
    </row>
    <row r="193" spans="1:22" x14ac:dyDescent="0.35">
      <c r="A193" t="s">
        <v>427</v>
      </c>
      <c r="B193" t="s">
        <v>428</v>
      </c>
      <c r="C193" t="s">
        <v>97</v>
      </c>
      <c r="D193" t="s">
        <v>46</v>
      </c>
      <c r="E193">
        <v>2034</v>
      </c>
      <c r="F193">
        <v>138.4</v>
      </c>
      <c r="G193">
        <v>25.1</v>
      </c>
      <c r="H193">
        <v>253.8</v>
      </c>
      <c r="I193">
        <v>16.100000000000001</v>
      </c>
      <c r="J193">
        <v>4.2</v>
      </c>
      <c r="K193">
        <v>93.54</v>
      </c>
      <c r="L193">
        <v>19</v>
      </c>
      <c r="M193" t="s">
        <v>27</v>
      </c>
      <c r="N193" t="s">
        <v>26</v>
      </c>
      <c r="O193" t="s">
        <v>27</v>
      </c>
      <c r="P193" t="s">
        <v>52</v>
      </c>
      <c r="Q193" t="s">
        <v>47</v>
      </c>
      <c r="R193">
        <v>4.9000000000000004</v>
      </c>
      <c r="S193">
        <v>-113.8</v>
      </c>
      <c r="T193">
        <v>21.4</v>
      </c>
      <c r="U193">
        <v>216</v>
      </c>
      <c r="V193">
        <v>9</v>
      </c>
    </row>
    <row r="194" spans="1:22" x14ac:dyDescent="0.35">
      <c r="A194" t="s">
        <v>429</v>
      </c>
      <c r="B194" t="s">
        <v>430</v>
      </c>
      <c r="C194" t="s">
        <v>43</v>
      </c>
      <c r="D194" t="s">
        <v>78</v>
      </c>
      <c r="E194">
        <v>2032</v>
      </c>
      <c r="F194">
        <v>320.3</v>
      </c>
      <c r="G194">
        <v>13</v>
      </c>
      <c r="H194">
        <v>306.60000000000002</v>
      </c>
      <c r="I194">
        <v>82.1</v>
      </c>
      <c r="J194">
        <v>6.8</v>
      </c>
      <c r="K194">
        <v>69.75</v>
      </c>
      <c r="L194">
        <v>19</v>
      </c>
      <c r="M194" t="s">
        <v>27</v>
      </c>
      <c r="N194" t="s">
        <v>26</v>
      </c>
      <c r="O194" t="s">
        <v>27</v>
      </c>
      <c r="P194" t="s">
        <v>52</v>
      </c>
      <c r="Q194" t="s">
        <v>36</v>
      </c>
      <c r="R194">
        <v>25.3</v>
      </c>
      <c r="S194">
        <v>543.5</v>
      </c>
      <c r="T194">
        <v>4.0999999999999996</v>
      </c>
      <c r="U194">
        <v>381</v>
      </c>
      <c r="V194">
        <v>5</v>
      </c>
    </row>
    <row r="195" spans="1:22" x14ac:dyDescent="0.35">
      <c r="A195" t="s">
        <v>431</v>
      </c>
      <c r="B195" t="s">
        <v>432</v>
      </c>
      <c r="C195" t="s">
        <v>43</v>
      </c>
      <c r="D195" t="s">
        <v>33</v>
      </c>
      <c r="E195">
        <v>2032</v>
      </c>
      <c r="F195">
        <v>207.4</v>
      </c>
      <c r="G195">
        <v>22.4</v>
      </c>
      <c r="H195">
        <v>463.4</v>
      </c>
      <c r="I195">
        <v>46</v>
      </c>
      <c r="J195">
        <v>24.6</v>
      </c>
      <c r="K195">
        <v>82.72</v>
      </c>
      <c r="L195">
        <v>16</v>
      </c>
      <c r="M195" t="s">
        <v>27</v>
      </c>
      <c r="N195" t="s">
        <v>34</v>
      </c>
      <c r="O195" t="s">
        <v>34</v>
      </c>
      <c r="P195" t="s">
        <v>28</v>
      </c>
      <c r="Q195" t="s">
        <v>29</v>
      </c>
      <c r="R195">
        <v>4</v>
      </c>
      <c r="S195">
        <v>-211.7</v>
      </c>
      <c r="T195">
        <v>21.6</v>
      </c>
      <c r="U195">
        <v>108</v>
      </c>
      <c r="V195">
        <v>5</v>
      </c>
    </row>
    <row r="196" spans="1:22" x14ac:dyDescent="0.35">
      <c r="A196" t="s">
        <v>433</v>
      </c>
      <c r="B196" t="s">
        <v>434</v>
      </c>
      <c r="C196" t="s">
        <v>120</v>
      </c>
      <c r="D196" t="s">
        <v>40</v>
      </c>
      <c r="E196">
        <v>2031</v>
      </c>
      <c r="F196">
        <v>556.4</v>
      </c>
      <c r="G196">
        <v>37.9</v>
      </c>
      <c r="H196">
        <v>1148.5</v>
      </c>
      <c r="I196">
        <v>221.6</v>
      </c>
      <c r="J196">
        <v>37.1</v>
      </c>
      <c r="K196">
        <v>947.36</v>
      </c>
      <c r="L196">
        <v>21</v>
      </c>
      <c r="M196" t="s">
        <v>26</v>
      </c>
      <c r="N196" t="s">
        <v>27</v>
      </c>
      <c r="O196" t="s">
        <v>34</v>
      </c>
      <c r="P196" t="s">
        <v>28</v>
      </c>
      <c r="Q196" t="s">
        <v>36</v>
      </c>
      <c r="R196">
        <v>16.899999999999999</v>
      </c>
      <c r="S196">
        <v>1459</v>
      </c>
      <c r="T196">
        <v>6.2</v>
      </c>
      <c r="U196">
        <v>875</v>
      </c>
      <c r="V196">
        <v>5</v>
      </c>
    </row>
    <row r="197" spans="1:22" x14ac:dyDescent="0.35">
      <c r="A197" t="s">
        <v>435</v>
      </c>
      <c r="B197" t="s">
        <v>436</v>
      </c>
      <c r="C197" t="s">
        <v>24</v>
      </c>
      <c r="D197" t="s">
        <v>40</v>
      </c>
      <c r="E197">
        <v>2028</v>
      </c>
      <c r="F197">
        <v>448.4</v>
      </c>
      <c r="G197">
        <v>40.200000000000003</v>
      </c>
      <c r="H197">
        <v>2442.1</v>
      </c>
      <c r="I197">
        <v>75.099999999999994</v>
      </c>
      <c r="J197">
        <v>64.8</v>
      </c>
      <c r="K197">
        <v>524.75</v>
      </c>
      <c r="L197">
        <v>26</v>
      </c>
      <c r="M197" t="s">
        <v>26</v>
      </c>
      <c r="N197" t="s">
        <v>26</v>
      </c>
      <c r="O197" t="s">
        <v>27</v>
      </c>
      <c r="P197" t="s">
        <v>52</v>
      </c>
      <c r="Q197" t="s">
        <v>65</v>
      </c>
      <c r="R197">
        <v>1.1000000000000001</v>
      </c>
      <c r="S197">
        <v>-2242.1999999999998</v>
      </c>
      <c r="T197">
        <v>235.4</v>
      </c>
      <c r="U197">
        <v>237</v>
      </c>
      <c r="V197">
        <v>5</v>
      </c>
    </row>
    <row r="198" spans="1:22" x14ac:dyDescent="0.35">
      <c r="A198" t="s">
        <v>437</v>
      </c>
      <c r="B198" t="s">
        <v>438</v>
      </c>
      <c r="C198" t="s">
        <v>97</v>
      </c>
      <c r="D198" t="s">
        <v>46</v>
      </c>
      <c r="E198">
        <v>2028</v>
      </c>
      <c r="F198">
        <v>55.6</v>
      </c>
      <c r="G198">
        <v>32.799999999999997</v>
      </c>
      <c r="H198">
        <v>109.6</v>
      </c>
      <c r="I198">
        <v>7.5</v>
      </c>
      <c r="J198">
        <v>2</v>
      </c>
      <c r="K198">
        <v>27.88</v>
      </c>
      <c r="L198">
        <v>16</v>
      </c>
      <c r="M198" t="s">
        <v>26</v>
      </c>
      <c r="N198" t="s">
        <v>27</v>
      </c>
      <c r="O198" t="s">
        <v>26</v>
      </c>
      <c r="P198" t="s">
        <v>28</v>
      </c>
      <c r="Q198" t="s">
        <v>65</v>
      </c>
      <c r="R198">
        <v>4.0999999999999996</v>
      </c>
      <c r="S198">
        <v>-54.2</v>
      </c>
      <c r="T198">
        <v>19.8</v>
      </c>
      <c r="U198">
        <v>65</v>
      </c>
      <c r="V198">
        <v>10</v>
      </c>
    </row>
    <row r="199" spans="1:22" x14ac:dyDescent="0.35">
      <c r="A199" t="s">
        <v>439</v>
      </c>
      <c r="B199" t="s">
        <v>440</v>
      </c>
      <c r="C199" t="s">
        <v>97</v>
      </c>
      <c r="D199" t="s">
        <v>57</v>
      </c>
      <c r="E199">
        <v>2034</v>
      </c>
      <c r="F199">
        <v>62.5</v>
      </c>
      <c r="G199">
        <v>53.1</v>
      </c>
      <c r="H199">
        <v>42</v>
      </c>
      <c r="I199">
        <v>2</v>
      </c>
      <c r="J199">
        <v>0.9</v>
      </c>
      <c r="K199">
        <v>100.84</v>
      </c>
      <c r="L199">
        <v>16</v>
      </c>
      <c r="M199" t="s">
        <v>26</v>
      </c>
      <c r="N199" t="s">
        <v>26</v>
      </c>
      <c r="O199" t="s">
        <v>26</v>
      </c>
      <c r="P199" t="s">
        <v>28</v>
      </c>
      <c r="Q199" t="s">
        <v>36</v>
      </c>
      <c r="R199">
        <v>0.3</v>
      </c>
      <c r="S199">
        <v>-35.4</v>
      </c>
      <c r="T199">
        <v>76.8</v>
      </c>
      <c r="U199">
        <v>53</v>
      </c>
      <c r="V199">
        <v>1</v>
      </c>
    </row>
    <row r="200" spans="1:22" x14ac:dyDescent="0.35">
      <c r="A200" t="s">
        <v>441</v>
      </c>
      <c r="B200" t="s">
        <v>442</v>
      </c>
      <c r="C200" t="s">
        <v>24</v>
      </c>
      <c r="D200" t="s">
        <v>25</v>
      </c>
      <c r="E200">
        <v>2029</v>
      </c>
      <c r="F200">
        <v>872.6</v>
      </c>
      <c r="G200">
        <v>40.1</v>
      </c>
      <c r="H200">
        <v>2947.5</v>
      </c>
      <c r="I200">
        <v>420.8</v>
      </c>
      <c r="J200">
        <v>99.6</v>
      </c>
      <c r="K200">
        <v>1024.32</v>
      </c>
      <c r="L200">
        <v>26</v>
      </c>
      <c r="M200" t="s">
        <v>26</v>
      </c>
      <c r="N200" t="s">
        <v>27</v>
      </c>
      <c r="O200" t="s">
        <v>27</v>
      </c>
      <c r="P200" t="s">
        <v>35</v>
      </c>
      <c r="Q200" t="s">
        <v>29</v>
      </c>
      <c r="R200">
        <v>10.3</v>
      </c>
      <c r="S200">
        <v>2410</v>
      </c>
      <c r="T200">
        <v>9.1999999999999993</v>
      </c>
      <c r="U200">
        <v>1394</v>
      </c>
      <c r="V200">
        <v>2</v>
      </c>
    </row>
    <row r="201" spans="1:22" x14ac:dyDescent="0.35">
      <c r="A201" t="s">
        <v>443</v>
      </c>
      <c r="B201" t="s">
        <v>444</v>
      </c>
      <c r="C201" t="s">
        <v>62</v>
      </c>
      <c r="D201" t="s">
        <v>57</v>
      </c>
      <c r="E201">
        <v>2027</v>
      </c>
      <c r="F201">
        <v>161.4</v>
      </c>
      <c r="G201">
        <v>21.5</v>
      </c>
      <c r="H201">
        <v>103.8</v>
      </c>
      <c r="I201">
        <v>18.7</v>
      </c>
      <c r="J201">
        <v>3</v>
      </c>
      <c r="K201">
        <v>98.41</v>
      </c>
      <c r="L201">
        <v>25</v>
      </c>
      <c r="M201" t="s">
        <v>34</v>
      </c>
      <c r="N201" t="s">
        <v>34</v>
      </c>
      <c r="O201" t="s">
        <v>27</v>
      </c>
      <c r="P201" t="s">
        <v>52</v>
      </c>
      <c r="Q201" t="s">
        <v>47</v>
      </c>
      <c r="R201">
        <v>15.6</v>
      </c>
      <c r="S201">
        <v>128.5</v>
      </c>
      <c r="T201">
        <v>6.6</v>
      </c>
      <c r="U201">
        <v>236</v>
      </c>
      <c r="V201">
        <v>3</v>
      </c>
    </row>
    <row r="202" spans="1:22" x14ac:dyDescent="0.35">
      <c r="A202" t="s">
        <v>445</v>
      </c>
      <c r="B202" t="s">
        <v>446</v>
      </c>
      <c r="C202" t="s">
        <v>43</v>
      </c>
      <c r="D202" t="s">
        <v>25</v>
      </c>
      <c r="E202">
        <v>2028</v>
      </c>
      <c r="F202">
        <v>469.8</v>
      </c>
      <c r="G202">
        <v>24.5</v>
      </c>
      <c r="H202">
        <v>798.5</v>
      </c>
      <c r="I202">
        <v>74.3</v>
      </c>
      <c r="J202">
        <v>19.100000000000001</v>
      </c>
      <c r="K202">
        <v>210.32</v>
      </c>
      <c r="L202">
        <v>16</v>
      </c>
      <c r="M202" t="s">
        <v>27</v>
      </c>
      <c r="N202" t="s">
        <v>26</v>
      </c>
      <c r="O202" t="s">
        <v>34</v>
      </c>
      <c r="P202" t="s">
        <v>35</v>
      </c>
      <c r="Q202" t="s">
        <v>65</v>
      </c>
      <c r="R202">
        <v>6.2</v>
      </c>
      <c r="S202">
        <v>-232.3</v>
      </c>
      <c r="T202">
        <v>14.5</v>
      </c>
      <c r="U202">
        <v>597</v>
      </c>
      <c r="V202">
        <v>10</v>
      </c>
    </row>
    <row r="203" spans="1:22" x14ac:dyDescent="0.35">
      <c r="A203" t="s">
        <v>447</v>
      </c>
      <c r="B203" t="s">
        <v>448</v>
      </c>
      <c r="C203" t="s">
        <v>32</v>
      </c>
      <c r="D203" t="s">
        <v>25</v>
      </c>
      <c r="E203">
        <v>2031</v>
      </c>
      <c r="F203">
        <v>1.6</v>
      </c>
      <c r="G203">
        <v>74.8</v>
      </c>
      <c r="H203">
        <v>962.2</v>
      </c>
      <c r="I203">
        <v>22.1</v>
      </c>
      <c r="J203">
        <v>73.2</v>
      </c>
      <c r="K203">
        <v>3.95</v>
      </c>
      <c r="L203">
        <v>29</v>
      </c>
      <c r="M203" t="s">
        <v>27</v>
      </c>
      <c r="N203" t="s">
        <v>26</v>
      </c>
      <c r="O203" t="s">
        <v>34</v>
      </c>
      <c r="P203" t="s">
        <v>28</v>
      </c>
      <c r="Q203" t="s">
        <v>29</v>
      </c>
      <c r="R203">
        <v>-6.1</v>
      </c>
      <c r="S203">
        <v>-1849.7</v>
      </c>
      <c r="T203">
        <v>51.6</v>
      </c>
      <c r="U203">
        <v>10</v>
      </c>
      <c r="V203">
        <v>10</v>
      </c>
    </row>
    <row r="204" spans="1:22" x14ac:dyDescent="0.35">
      <c r="A204" t="s">
        <v>449</v>
      </c>
      <c r="B204" t="s">
        <v>450</v>
      </c>
      <c r="C204" t="s">
        <v>39</v>
      </c>
      <c r="D204" t="s">
        <v>33</v>
      </c>
      <c r="E204">
        <v>2033</v>
      </c>
      <c r="F204">
        <v>209.8</v>
      </c>
      <c r="G204">
        <v>41.7</v>
      </c>
      <c r="H204">
        <v>1280.5</v>
      </c>
      <c r="I204">
        <v>138.6</v>
      </c>
      <c r="J204">
        <v>55.6</v>
      </c>
      <c r="K204">
        <v>59.19</v>
      </c>
      <c r="L204">
        <v>40</v>
      </c>
      <c r="M204" t="s">
        <v>34</v>
      </c>
      <c r="N204" t="s">
        <v>26</v>
      </c>
      <c r="O204" t="s">
        <v>34</v>
      </c>
      <c r="P204" t="s">
        <v>52</v>
      </c>
      <c r="Q204" t="s">
        <v>47</v>
      </c>
      <c r="R204">
        <v>6.4</v>
      </c>
      <c r="S204">
        <v>1048.3</v>
      </c>
      <c r="T204">
        <v>15.4</v>
      </c>
      <c r="U204">
        <v>260</v>
      </c>
      <c r="V204">
        <v>1</v>
      </c>
    </row>
    <row r="205" spans="1:22" x14ac:dyDescent="0.35">
      <c r="A205" t="s">
        <v>451</v>
      </c>
      <c r="B205" t="s">
        <v>452</v>
      </c>
      <c r="C205" t="s">
        <v>32</v>
      </c>
      <c r="D205" t="s">
        <v>33</v>
      </c>
      <c r="E205">
        <v>2031</v>
      </c>
      <c r="F205">
        <v>3.4</v>
      </c>
      <c r="G205">
        <v>88.8</v>
      </c>
      <c r="H205">
        <v>1944.6</v>
      </c>
      <c r="I205">
        <v>259</v>
      </c>
      <c r="J205">
        <v>131.5</v>
      </c>
      <c r="K205">
        <v>16.190000000000001</v>
      </c>
      <c r="L205">
        <v>30</v>
      </c>
      <c r="M205" t="s">
        <v>26</v>
      </c>
      <c r="N205" t="s">
        <v>26</v>
      </c>
      <c r="O205" t="s">
        <v>26</v>
      </c>
      <c r="P205" t="s">
        <v>35</v>
      </c>
      <c r="Q205" t="s">
        <v>29</v>
      </c>
      <c r="R205">
        <v>6.8</v>
      </c>
      <c r="S205">
        <v>393.9</v>
      </c>
      <c r="T205">
        <v>15.2</v>
      </c>
      <c r="U205">
        <v>10</v>
      </c>
      <c r="V205">
        <v>3</v>
      </c>
    </row>
    <row r="206" spans="1:22" x14ac:dyDescent="0.35">
      <c r="A206" t="s">
        <v>453</v>
      </c>
      <c r="B206" t="s">
        <v>454</v>
      </c>
      <c r="C206" t="s">
        <v>43</v>
      </c>
      <c r="D206" t="s">
        <v>40</v>
      </c>
      <c r="E206">
        <v>2032</v>
      </c>
      <c r="F206">
        <v>341.7</v>
      </c>
      <c r="G206">
        <v>20</v>
      </c>
      <c r="H206">
        <v>308.5</v>
      </c>
      <c r="I206">
        <v>15.9</v>
      </c>
      <c r="J206">
        <v>16.8</v>
      </c>
      <c r="K206">
        <v>100.01</v>
      </c>
      <c r="L206">
        <v>12</v>
      </c>
      <c r="M206" t="s">
        <v>34</v>
      </c>
      <c r="N206" t="s">
        <v>26</v>
      </c>
      <c r="O206" t="s">
        <v>26</v>
      </c>
      <c r="P206" t="s">
        <v>35</v>
      </c>
      <c r="Q206" t="s">
        <v>47</v>
      </c>
      <c r="R206">
        <v>0.7</v>
      </c>
      <c r="S206">
        <v>-315.2</v>
      </c>
      <c r="T206">
        <v>35.299999999999997</v>
      </c>
      <c r="U206">
        <v>250</v>
      </c>
      <c r="V206">
        <v>9</v>
      </c>
    </row>
    <row r="207" spans="1:22" x14ac:dyDescent="0.35">
      <c r="A207" t="s">
        <v>455</v>
      </c>
      <c r="B207" t="s">
        <v>456</v>
      </c>
      <c r="C207" t="s">
        <v>39</v>
      </c>
      <c r="D207" t="s">
        <v>78</v>
      </c>
      <c r="E207">
        <v>2032</v>
      </c>
      <c r="F207">
        <v>462.8</v>
      </c>
      <c r="G207">
        <v>73.900000000000006</v>
      </c>
      <c r="H207">
        <v>761.9</v>
      </c>
      <c r="I207">
        <v>13.4</v>
      </c>
      <c r="J207">
        <v>21.3</v>
      </c>
      <c r="K207">
        <v>346.14</v>
      </c>
      <c r="L207">
        <v>35</v>
      </c>
      <c r="M207" t="s">
        <v>27</v>
      </c>
      <c r="N207" t="s">
        <v>27</v>
      </c>
      <c r="O207" t="s">
        <v>34</v>
      </c>
      <c r="P207" t="s">
        <v>52</v>
      </c>
      <c r="Q207" t="s">
        <v>65</v>
      </c>
      <c r="R207">
        <v>-0.8</v>
      </c>
      <c r="S207">
        <v>-925</v>
      </c>
      <c r="T207">
        <v>20.8</v>
      </c>
      <c r="U207">
        <v>668</v>
      </c>
      <c r="V207">
        <v>5</v>
      </c>
    </row>
    <row r="208" spans="1:22" x14ac:dyDescent="0.35">
      <c r="A208" t="s">
        <v>457</v>
      </c>
      <c r="B208" t="s">
        <v>458</v>
      </c>
      <c r="C208" t="s">
        <v>32</v>
      </c>
      <c r="D208" t="s">
        <v>33</v>
      </c>
      <c r="E208">
        <v>2028</v>
      </c>
      <c r="F208">
        <v>3.3</v>
      </c>
      <c r="G208">
        <v>69.3</v>
      </c>
      <c r="H208">
        <v>2573.8000000000002</v>
      </c>
      <c r="I208">
        <v>102.9</v>
      </c>
      <c r="J208">
        <v>142.80000000000001</v>
      </c>
      <c r="K208">
        <v>11.63</v>
      </c>
      <c r="L208">
        <v>22</v>
      </c>
      <c r="M208" t="s">
        <v>27</v>
      </c>
      <c r="N208" t="s">
        <v>26</v>
      </c>
      <c r="O208" t="s">
        <v>26</v>
      </c>
      <c r="P208" t="s">
        <v>52</v>
      </c>
      <c r="Q208" t="s">
        <v>65</v>
      </c>
      <c r="R208">
        <v>-1.5</v>
      </c>
      <c r="S208">
        <v>-3139.3</v>
      </c>
      <c r="T208">
        <v>39.6</v>
      </c>
      <c r="U208">
        <v>10</v>
      </c>
      <c r="V208">
        <v>6</v>
      </c>
    </row>
    <row r="209" spans="1:22" x14ac:dyDescent="0.35">
      <c r="A209" t="s">
        <v>459</v>
      </c>
      <c r="B209" t="s">
        <v>460</v>
      </c>
      <c r="C209" t="s">
        <v>39</v>
      </c>
      <c r="D209" t="s">
        <v>25</v>
      </c>
      <c r="E209">
        <v>2033</v>
      </c>
      <c r="F209">
        <v>702.6</v>
      </c>
      <c r="G209">
        <v>56.3</v>
      </c>
      <c r="H209">
        <v>274</v>
      </c>
      <c r="I209">
        <v>22.3</v>
      </c>
      <c r="J209">
        <v>10.5</v>
      </c>
      <c r="K209">
        <v>404.35</v>
      </c>
      <c r="L209">
        <v>28</v>
      </c>
      <c r="M209" t="s">
        <v>27</v>
      </c>
      <c r="N209" t="s">
        <v>26</v>
      </c>
      <c r="O209" t="s">
        <v>27</v>
      </c>
      <c r="P209" t="s">
        <v>52</v>
      </c>
      <c r="Q209" t="s">
        <v>65</v>
      </c>
      <c r="R209">
        <v>3.2</v>
      </c>
      <c r="S209">
        <v>-34.5</v>
      </c>
      <c r="T209">
        <v>23.2</v>
      </c>
      <c r="U209">
        <v>1014</v>
      </c>
      <c r="V209">
        <v>6</v>
      </c>
    </row>
    <row r="210" spans="1:22" x14ac:dyDescent="0.35">
      <c r="A210" t="s">
        <v>461</v>
      </c>
      <c r="B210" t="s">
        <v>462</v>
      </c>
      <c r="C210" t="s">
        <v>24</v>
      </c>
      <c r="D210" t="s">
        <v>57</v>
      </c>
      <c r="E210">
        <v>2027</v>
      </c>
      <c r="F210">
        <v>993.6</v>
      </c>
      <c r="G210">
        <v>40.200000000000003</v>
      </c>
      <c r="H210">
        <v>1896.5</v>
      </c>
      <c r="I210">
        <v>195.3</v>
      </c>
      <c r="J210">
        <v>63</v>
      </c>
      <c r="K210">
        <v>1034.81</v>
      </c>
      <c r="L210">
        <v>27</v>
      </c>
      <c r="M210" t="s">
        <v>26</v>
      </c>
      <c r="N210" t="s">
        <v>26</v>
      </c>
      <c r="O210" t="s">
        <v>34</v>
      </c>
      <c r="P210" t="s">
        <v>28</v>
      </c>
      <c r="Q210" t="s">
        <v>29</v>
      </c>
      <c r="R210">
        <v>6.5</v>
      </c>
      <c r="S210">
        <v>637.6</v>
      </c>
      <c r="T210">
        <v>14.3</v>
      </c>
      <c r="U210">
        <v>1114</v>
      </c>
      <c r="V210">
        <v>1</v>
      </c>
    </row>
    <row r="211" spans="1:22" x14ac:dyDescent="0.35">
      <c r="A211" t="s">
        <v>463</v>
      </c>
      <c r="B211" t="s">
        <v>464</v>
      </c>
      <c r="C211" t="s">
        <v>24</v>
      </c>
      <c r="D211" t="s">
        <v>78</v>
      </c>
      <c r="E211">
        <v>2028</v>
      </c>
      <c r="F211">
        <v>723.2</v>
      </c>
      <c r="G211">
        <v>45.5</v>
      </c>
      <c r="H211">
        <v>1216.7</v>
      </c>
      <c r="I211">
        <v>102.1</v>
      </c>
      <c r="J211">
        <v>31.8</v>
      </c>
      <c r="K211">
        <v>1218.31</v>
      </c>
      <c r="L211">
        <v>25</v>
      </c>
      <c r="M211" t="s">
        <v>27</v>
      </c>
      <c r="N211" t="s">
        <v>27</v>
      </c>
      <c r="O211" t="s">
        <v>27</v>
      </c>
      <c r="P211" t="s">
        <v>52</v>
      </c>
      <c r="Q211" t="s">
        <v>36</v>
      </c>
      <c r="R211">
        <v>4.7</v>
      </c>
      <c r="S211">
        <v>-134.30000000000001</v>
      </c>
      <c r="T211">
        <v>17.3</v>
      </c>
      <c r="U211">
        <v>663</v>
      </c>
      <c r="V211">
        <v>3</v>
      </c>
    </row>
    <row r="212" spans="1:22" x14ac:dyDescent="0.35">
      <c r="A212" t="s">
        <v>465</v>
      </c>
      <c r="B212" t="s">
        <v>466</v>
      </c>
      <c r="C212" t="s">
        <v>97</v>
      </c>
      <c r="D212" t="s">
        <v>78</v>
      </c>
      <c r="E212">
        <v>2034</v>
      </c>
      <c r="F212">
        <v>174.2</v>
      </c>
      <c r="G212">
        <v>29.1</v>
      </c>
      <c r="H212">
        <v>417.6</v>
      </c>
      <c r="I212">
        <v>28.2</v>
      </c>
      <c r="J212">
        <v>9.6999999999999993</v>
      </c>
      <c r="K212">
        <v>70.180000000000007</v>
      </c>
      <c r="L212">
        <v>18</v>
      </c>
      <c r="M212" t="s">
        <v>27</v>
      </c>
      <c r="N212" t="s">
        <v>26</v>
      </c>
      <c r="O212" t="s">
        <v>26</v>
      </c>
      <c r="P212" t="s">
        <v>52</v>
      </c>
      <c r="Q212" t="s">
        <v>29</v>
      </c>
      <c r="R212">
        <v>4.2</v>
      </c>
      <c r="S212">
        <v>-157.1</v>
      </c>
      <c r="T212">
        <v>22.5</v>
      </c>
      <c r="U212">
        <v>174</v>
      </c>
      <c r="V212">
        <v>6</v>
      </c>
    </row>
    <row r="213" spans="1:22" x14ac:dyDescent="0.35">
      <c r="A213" t="s">
        <v>467</v>
      </c>
      <c r="B213" t="s">
        <v>468</v>
      </c>
      <c r="C213" t="s">
        <v>39</v>
      </c>
      <c r="D213" t="s">
        <v>78</v>
      </c>
      <c r="E213">
        <v>2035</v>
      </c>
      <c r="F213">
        <v>329.3</v>
      </c>
      <c r="G213">
        <v>40.299999999999997</v>
      </c>
      <c r="H213">
        <v>974.4</v>
      </c>
      <c r="I213">
        <v>173.5</v>
      </c>
      <c r="J213">
        <v>47.5</v>
      </c>
      <c r="K213">
        <v>76.14</v>
      </c>
      <c r="L213">
        <v>32</v>
      </c>
      <c r="M213" t="s">
        <v>26</v>
      </c>
      <c r="N213" t="s">
        <v>27</v>
      </c>
      <c r="O213" t="s">
        <v>26</v>
      </c>
      <c r="P213" t="s">
        <v>35</v>
      </c>
      <c r="Q213" t="s">
        <v>29</v>
      </c>
      <c r="R213">
        <v>13.4</v>
      </c>
      <c r="S213">
        <v>1958.1</v>
      </c>
      <c r="T213">
        <v>7.7</v>
      </c>
      <c r="U213">
        <v>309</v>
      </c>
      <c r="V213">
        <v>7</v>
      </c>
    </row>
    <row r="214" spans="1:22" x14ac:dyDescent="0.35">
      <c r="A214" t="s">
        <v>469</v>
      </c>
      <c r="B214" t="s">
        <v>470</v>
      </c>
      <c r="C214" t="s">
        <v>32</v>
      </c>
      <c r="D214" t="s">
        <v>25</v>
      </c>
      <c r="E214">
        <v>2027</v>
      </c>
      <c r="F214">
        <v>5.0999999999999996</v>
      </c>
      <c r="G214">
        <v>85.5</v>
      </c>
      <c r="H214">
        <v>1050.8</v>
      </c>
      <c r="I214">
        <v>29.7</v>
      </c>
      <c r="J214">
        <v>73.099999999999994</v>
      </c>
      <c r="K214">
        <v>26.2</v>
      </c>
      <c r="L214">
        <v>23</v>
      </c>
      <c r="M214" t="s">
        <v>27</v>
      </c>
      <c r="N214" t="s">
        <v>34</v>
      </c>
      <c r="O214" t="s">
        <v>26</v>
      </c>
      <c r="P214" t="s">
        <v>52</v>
      </c>
      <c r="Q214" t="s">
        <v>65</v>
      </c>
      <c r="R214">
        <v>-5.0999999999999996</v>
      </c>
      <c r="S214">
        <v>-1678.1</v>
      </c>
      <c r="T214">
        <v>54.4</v>
      </c>
      <c r="U214">
        <v>10</v>
      </c>
      <c r="V214">
        <v>5</v>
      </c>
    </row>
    <row r="215" spans="1:22" x14ac:dyDescent="0.35">
      <c r="A215" t="s">
        <v>471</v>
      </c>
      <c r="B215" t="s">
        <v>472</v>
      </c>
      <c r="C215" t="s">
        <v>62</v>
      </c>
      <c r="D215" t="s">
        <v>57</v>
      </c>
      <c r="E215">
        <v>2034</v>
      </c>
      <c r="F215">
        <v>435.4</v>
      </c>
      <c r="G215">
        <v>13.5</v>
      </c>
      <c r="H215">
        <v>233.5</v>
      </c>
      <c r="I215">
        <v>2.8</v>
      </c>
      <c r="J215">
        <v>4.0999999999999996</v>
      </c>
      <c r="K215">
        <v>227.71</v>
      </c>
      <c r="L215">
        <v>30</v>
      </c>
      <c r="M215" t="s">
        <v>27</v>
      </c>
      <c r="N215" t="s">
        <v>27</v>
      </c>
      <c r="O215" t="s">
        <v>27</v>
      </c>
      <c r="P215" t="s">
        <v>35</v>
      </c>
      <c r="Q215" t="s">
        <v>36</v>
      </c>
      <c r="R215">
        <v>-0.8</v>
      </c>
      <c r="S215">
        <v>-260.2</v>
      </c>
      <c r="T215">
        <v>52.5</v>
      </c>
      <c r="U215">
        <v>465</v>
      </c>
      <c r="V215">
        <v>8</v>
      </c>
    </row>
    <row r="216" spans="1:22" x14ac:dyDescent="0.35">
      <c r="A216" t="s">
        <v>473</v>
      </c>
      <c r="B216" t="s">
        <v>474</v>
      </c>
      <c r="C216" t="s">
        <v>120</v>
      </c>
      <c r="D216" t="s">
        <v>33</v>
      </c>
      <c r="E216">
        <v>2027</v>
      </c>
      <c r="F216">
        <v>676.6</v>
      </c>
      <c r="G216">
        <v>65.400000000000006</v>
      </c>
      <c r="H216">
        <v>2259.5</v>
      </c>
      <c r="I216">
        <v>2</v>
      </c>
      <c r="J216">
        <v>147</v>
      </c>
      <c r="K216">
        <v>1660.13</v>
      </c>
      <c r="L216">
        <v>15</v>
      </c>
      <c r="M216" t="s">
        <v>26</v>
      </c>
      <c r="N216" t="s">
        <v>26</v>
      </c>
      <c r="O216" t="s">
        <v>26</v>
      </c>
      <c r="P216" t="s">
        <v>52</v>
      </c>
      <c r="Q216" t="s">
        <v>65</v>
      </c>
      <c r="R216">
        <v>-9</v>
      </c>
      <c r="S216">
        <v>-4419.8</v>
      </c>
      <c r="T216">
        <v>26.8</v>
      </c>
      <c r="U216">
        <v>639</v>
      </c>
      <c r="V216">
        <v>3</v>
      </c>
    </row>
    <row r="217" spans="1:22" x14ac:dyDescent="0.35">
      <c r="A217" t="s">
        <v>475</v>
      </c>
      <c r="B217" t="s">
        <v>476</v>
      </c>
      <c r="C217" t="s">
        <v>32</v>
      </c>
      <c r="D217" t="s">
        <v>33</v>
      </c>
      <c r="E217">
        <v>2035</v>
      </c>
      <c r="F217">
        <v>6.3</v>
      </c>
      <c r="G217">
        <v>88.3</v>
      </c>
      <c r="H217">
        <v>1325.2</v>
      </c>
      <c r="I217">
        <v>2</v>
      </c>
      <c r="J217">
        <v>80.8</v>
      </c>
      <c r="K217">
        <v>14.67</v>
      </c>
      <c r="L217">
        <v>23</v>
      </c>
      <c r="M217" t="s">
        <v>27</v>
      </c>
      <c r="N217" t="s">
        <v>27</v>
      </c>
      <c r="O217" t="s">
        <v>27</v>
      </c>
      <c r="P217" t="s">
        <v>52</v>
      </c>
      <c r="Q217" t="s">
        <v>36</v>
      </c>
      <c r="R217">
        <v>-7.9</v>
      </c>
      <c r="S217">
        <v>-2992.3</v>
      </c>
      <c r="T217">
        <v>21.4</v>
      </c>
      <c r="U217">
        <v>10</v>
      </c>
      <c r="V217">
        <v>9</v>
      </c>
    </row>
    <row r="218" spans="1:22" x14ac:dyDescent="0.35">
      <c r="A218" t="s">
        <v>477</v>
      </c>
      <c r="B218" t="s">
        <v>478</v>
      </c>
      <c r="C218" t="s">
        <v>62</v>
      </c>
      <c r="D218" t="s">
        <v>40</v>
      </c>
      <c r="E218">
        <v>2033</v>
      </c>
      <c r="F218">
        <v>296.10000000000002</v>
      </c>
      <c r="G218">
        <v>14.8</v>
      </c>
      <c r="H218">
        <v>99.7</v>
      </c>
      <c r="I218">
        <v>12</v>
      </c>
      <c r="J218">
        <v>2</v>
      </c>
      <c r="K218">
        <v>81.58</v>
      </c>
      <c r="L218">
        <v>28</v>
      </c>
      <c r="M218" t="s">
        <v>34</v>
      </c>
      <c r="N218" t="s">
        <v>27</v>
      </c>
      <c r="O218" t="s">
        <v>26</v>
      </c>
      <c r="P218" t="s">
        <v>28</v>
      </c>
      <c r="Q218" t="s">
        <v>47</v>
      </c>
      <c r="R218">
        <v>10.8</v>
      </c>
      <c r="S218">
        <v>103.3</v>
      </c>
      <c r="T218">
        <v>9.9</v>
      </c>
      <c r="U218">
        <v>278</v>
      </c>
      <c r="V218">
        <v>7</v>
      </c>
    </row>
    <row r="219" spans="1:22" x14ac:dyDescent="0.35">
      <c r="A219" t="s">
        <v>479</v>
      </c>
      <c r="B219" t="s">
        <v>480</v>
      </c>
      <c r="C219" t="s">
        <v>24</v>
      </c>
      <c r="D219" t="s">
        <v>57</v>
      </c>
      <c r="E219">
        <v>2029</v>
      </c>
      <c r="F219">
        <v>572.6</v>
      </c>
      <c r="G219">
        <v>45.8</v>
      </c>
      <c r="H219">
        <v>2137.8000000000002</v>
      </c>
      <c r="I219">
        <v>213.9</v>
      </c>
      <c r="J219">
        <v>103.5</v>
      </c>
      <c r="K219">
        <v>862.44</v>
      </c>
      <c r="L219">
        <v>30</v>
      </c>
      <c r="M219" t="s">
        <v>27</v>
      </c>
      <c r="N219" t="s">
        <v>34</v>
      </c>
      <c r="O219" t="s">
        <v>34</v>
      </c>
      <c r="P219" t="s">
        <v>28</v>
      </c>
      <c r="Q219" t="s">
        <v>65</v>
      </c>
      <c r="R219">
        <v>6</v>
      </c>
      <c r="S219">
        <v>360.8</v>
      </c>
      <c r="T219">
        <v>19.399999999999999</v>
      </c>
      <c r="U219">
        <v>288</v>
      </c>
      <c r="V219">
        <v>5</v>
      </c>
    </row>
    <row r="220" spans="1:22" x14ac:dyDescent="0.35">
      <c r="A220" t="s">
        <v>481</v>
      </c>
      <c r="B220" t="s">
        <v>482</v>
      </c>
      <c r="C220" t="s">
        <v>32</v>
      </c>
      <c r="D220" t="s">
        <v>57</v>
      </c>
      <c r="E220">
        <v>2028</v>
      </c>
      <c r="F220">
        <v>4.2</v>
      </c>
      <c r="G220">
        <v>83.7</v>
      </c>
      <c r="H220">
        <v>740.2</v>
      </c>
      <c r="I220">
        <v>2</v>
      </c>
      <c r="J220">
        <v>53.8</v>
      </c>
      <c r="K220">
        <v>21.11</v>
      </c>
      <c r="L220">
        <v>24</v>
      </c>
      <c r="M220" t="s">
        <v>27</v>
      </c>
      <c r="N220" t="s">
        <v>27</v>
      </c>
      <c r="O220" t="s">
        <v>34</v>
      </c>
      <c r="P220" t="s">
        <v>35</v>
      </c>
      <c r="Q220" t="s">
        <v>29</v>
      </c>
      <c r="R220">
        <v>-6.1</v>
      </c>
      <c r="S220">
        <v>-1595.5</v>
      </c>
      <c r="T220">
        <v>20.7</v>
      </c>
      <c r="U220">
        <v>10</v>
      </c>
      <c r="V220">
        <v>6</v>
      </c>
    </row>
    <row r="221" spans="1:22" x14ac:dyDescent="0.35">
      <c r="A221" t="s">
        <v>483</v>
      </c>
      <c r="B221" t="s">
        <v>484</v>
      </c>
      <c r="C221" t="s">
        <v>43</v>
      </c>
      <c r="D221" t="s">
        <v>33</v>
      </c>
      <c r="E221">
        <v>2030</v>
      </c>
      <c r="F221">
        <v>362.1</v>
      </c>
      <c r="G221">
        <v>15.8</v>
      </c>
      <c r="H221">
        <v>624.9</v>
      </c>
      <c r="I221">
        <v>115</v>
      </c>
      <c r="J221">
        <v>23.2</v>
      </c>
      <c r="K221">
        <v>101.73</v>
      </c>
      <c r="L221">
        <v>18</v>
      </c>
      <c r="M221" t="s">
        <v>26</v>
      </c>
      <c r="N221" t="s">
        <v>27</v>
      </c>
      <c r="O221" t="s">
        <v>26</v>
      </c>
      <c r="P221" t="s">
        <v>35</v>
      </c>
      <c r="Q221" t="s">
        <v>65</v>
      </c>
      <c r="R221">
        <v>15.9</v>
      </c>
      <c r="S221">
        <v>389.9</v>
      </c>
      <c r="T221">
        <v>6.8</v>
      </c>
      <c r="U221">
        <v>480</v>
      </c>
      <c r="V221">
        <v>7</v>
      </c>
    </row>
    <row r="222" spans="1:22" x14ac:dyDescent="0.35">
      <c r="A222" t="s">
        <v>485</v>
      </c>
      <c r="B222" t="s">
        <v>486</v>
      </c>
      <c r="C222" t="s">
        <v>43</v>
      </c>
      <c r="D222" t="s">
        <v>57</v>
      </c>
      <c r="E222">
        <v>2033</v>
      </c>
      <c r="F222">
        <v>144.1</v>
      </c>
      <c r="G222">
        <v>28.3</v>
      </c>
      <c r="H222">
        <v>489.4</v>
      </c>
      <c r="I222">
        <v>35.9</v>
      </c>
      <c r="J222">
        <v>16.2</v>
      </c>
      <c r="K222">
        <v>45.27</v>
      </c>
      <c r="L222">
        <v>13</v>
      </c>
      <c r="M222" t="s">
        <v>34</v>
      </c>
      <c r="N222" t="s">
        <v>27</v>
      </c>
      <c r="O222" t="s">
        <v>27</v>
      </c>
      <c r="P222" t="s">
        <v>52</v>
      </c>
      <c r="Q222" t="s">
        <v>65</v>
      </c>
      <c r="R222">
        <v>3.4</v>
      </c>
      <c r="S222">
        <v>-294.3</v>
      </c>
      <c r="T222">
        <v>24.8</v>
      </c>
      <c r="U222">
        <v>186</v>
      </c>
      <c r="V222">
        <v>10</v>
      </c>
    </row>
    <row r="223" spans="1:22" x14ac:dyDescent="0.35">
      <c r="A223" t="s">
        <v>487</v>
      </c>
      <c r="B223" t="s">
        <v>488</v>
      </c>
      <c r="C223" t="s">
        <v>39</v>
      </c>
      <c r="D223" t="s">
        <v>33</v>
      </c>
      <c r="E223">
        <v>2028</v>
      </c>
      <c r="F223">
        <v>650.20000000000005</v>
      </c>
      <c r="G223">
        <v>54</v>
      </c>
      <c r="H223">
        <v>164.1</v>
      </c>
      <c r="I223">
        <v>36.9</v>
      </c>
      <c r="J223">
        <v>7</v>
      </c>
      <c r="K223">
        <v>339.68</v>
      </c>
      <c r="L223">
        <v>25</v>
      </c>
      <c r="M223" t="s">
        <v>27</v>
      </c>
      <c r="N223" t="s">
        <v>26</v>
      </c>
      <c r="O223" t="s">
        <v>27</v>
      </c>
      <c r="P223" t="s">
        <v>35</v>
      </c>
      <c r="Q223" t="s">
        <v>47</v>
      </c>
      <c r="R223">
        <v>17.899999999999999</v>
      </c>
      <c r="S223">
        <v>332.5</v>
      </c>
      <c r="T223">
        <v>5.5</v>
      </c>
      <c r="U223">
        <v>739</v>
      </c>
      <c r="V223">
        <v>9</v>
      </c>
    </row>
    <row r="224" spans="1:22" x14ac:dyDescent="0.35">
      <c r="A224" t="s">
        <v>489</v>
      </c>
      <c r="B224" t="s">
        <v>490</v>
      </c>
      <c r="C224" t="s">
        <v>32</v>
      </c>
      <c r="D224" t="s">
        <v>40</v>
      </c>
      <c r="E224">
        <v>2028</v>
      </c>
      <c r="F224">
        <v>5.8</v>
      </c>
      <c r="G224">
        <v>76.5</v>
      </c>
      <c r="H224">
        <v>2193.6</v>
      </c>
      <c r="I224">
        <v>166.2</v>
      </c>
      <c r="J224">
        <v>109.6</v>
      </c>
      <c r="K224">
        <v>23.42</v>
      </c>
      <c r="L224">
        <v>30</v>
      </c>
      <c r="M224" t="s">
        <v>27</v>
      </c>
      <c r="N224" t="s">
        <v>26</v>
      </c>
      <c r="O224" t="s">
        <v>26</v>
      </c>
      <c r="P224" t="s">
        <v>28</v>
      </c>
      <c r="Q224" t="s">
        <v>29</v>
      </c>
      <c r="R224">
        <v>2.1</v>
      </c>
      <c r="S224">
        <v>-913.9</v>
      </c>
      <c r="T224">
        <v>38.799999999999997</v>
      </c>
      <c r="U224">
        <v>10</v>
      </c>
      <c r="V224">
        <v>5</v>
      </c>
    </row>
    <row r="225" spans="1:22" x14ac:dyDescent="0.35">
      <c r="A225" t="s">
        <v>491</v>
      </c>
      <c r="B225" t="s">
        <v>492</v>
      </c>
      <c r="C225" t="s">
        <v>24</v>
      </c>
      <c r="D225" t="s">
        <v>46</v>
      </c>
      <c r="E225">
        <v>2031</v>
      </c>
      <c r="F225">
        <v>571.9</v>
      </c>
      <c r="G225">
        <v>41.7</v>
      </c>
      <c r="H225">
        <v>1244.7</v>
      </c>
      <c r="I225">
        <v>29.3</v>
      </c>
      <c r="J225">
        <v>32.299999999999997</v>
      </c>
      <c r="K225">
        <v>1176.8399999999999</v>
      </c>
      <c r="L225">
        <v>29</v>
      </c>
      <c r="M225" t="s">
        <v>26</v>
      </c>
      <c r="N225" t="s">
        <v>26</v>
      </c>
      <c r="O225" t="s">
        <v>26</v>
      </c>
      <c r="P225" t="s">
        <v>52</v>
      </c>
      <c r="Q225" t="s">
        <v>65</v>
      </c>
      <c r="R225">
        <v>-1.2</v>
      </c>
      <c r="S225">
        <v>-1299.8</v>
      </c>
      <c r="T225">
        <v>21.3</v>
      </c>
      <c r="U225">
        <v>705</v>
      </c>
      <c r="V225">
        <v>3</v>
      </c>
    </row>
    <row r="226" spans="1:22" x14ac:dyDescent="0.35">
      <c r="A226" t="s">
        <v>493</v>
      </c>
      <c r="B226" t="s">
        <v>494</v>
      </c>
      <c r="C226" t="s">
        <v>97</v>
      </c>
      <c r="D226" t="s">
        <v>46</v>
      </c>
      <c r="E226">
        <v>2034</v>
      </c>
      <c r="F226">
        <v>151.9</v>
      </c>
      <c r="G226">
        <v>52.1</v>
      </c>
      <c r="H226">
        <v>79.8</v>
      </c>
      <c r="I226">
        <v>5.9</v>
      </c>
      <c r="J226">
        <v>1.7</v>
      </c>
      <c r="K226">
        <v>208.73</v>
      </c>
      <c r="L226">
        <v>19</v>
      </c>
      <c r="M226" t="s">
        <v>27</v>
      </c>
      <c r="N226" t="s">
        <v>34</v>
      </c>
      <c r="O226" t="s">
        <v>34</v>
      </c>
      <c r="P226" t="s">
        <v>52</v>
      </c>
      <c r="Q226" t="s">
        <v>29</v>
      </c>
      <c r="R226">
        <v>6.2</v>
      </c>
      <c r="S226">
        <v>-28.8</v>
      </c>
      <c r="T226">
        <v>19.2</v>
      </c>
      <c r="U226">
        <v>161</v>
      </c>
      <c r="V226">
        <v>4</v>
      </c>
    </row>
    <row r="227" spans="1:22" x14ac:dyDescent="0.35">
      <c r="A227" t="s">
        <v>495</v>
      </c>
      <c r="B227" t="s">
        <v>496</v>
      </c>
      <c r="C227" t="s">
        <v>32</v>
      </c>
      <c r="D227" t="s">
        <v>25</v>
      </c>
      <c r="E227">
        <v>2029</v>
      </c>
      <c r="F227">
        <v>7.2</v>
      </c>
      <c r="G227">
        <v>65.5</v>
      </c>
      <c r="H227">
        <v>1799.1</v>
      </c>
      <c r="I227">
        <v>3</v>
      </c>
      <c r="J227">
        <v>136.80000000000001</v>
      </c>
      <c r="K227">
        <v>26.55</v>
      </c>
      <c r="L227">
        <v>29</v>
      </c>
      <c r="M227" t="s">
        <v>27</v>
      </c>
      <c r="N227" t="s">
        <v>26</v>
      </c>
      <c r="O227" t="s">
        <v>26</v>
      </c>
      <c r="P227" t="s">
        <v>52</v>
      </c>
      <c r="Q227" t="s">
        <v>65</v>
      </c>
      <c r="R227">
        <v>-8.5</v>
      </c>
      <c r="S227">
        <v>-4097.5</v>
      </c>
      <c r="T227">
        <v>39.4</v>
      </c>
      <c r="U227">
        <v>10</v>
      </c>
      <c r="V227">
        <v>5</v>
      </c>
    </row>
    <row r="228" spans="1:22" x14ac:dyDescent="0.35">
      <c r="A228" t="s">
        <v>497</v>
      </c>
      <c r="B228" t="s">
        <v>498</v>
      </c>
      <c r="C228" t="s">
        <v>97</v>
      </c>
      <c r="D228" t="s">
        <v>33</v>
      </c>
      <c r="E228">
        <v>2034</v>
      </c>
      <c r="F228">
        <v>102.9</v>
      </c>
      <c r="G228">
        <v>37</v>
      </c>
      <c r="H228">
        <v>270.8</v>
      </c>
      <c r="I228">
        <v>42.8</v>
      </c>
      <c r="J228">
        <v>9.1</v>
      </c>
      <c r="K228">
        <v>65.95</v>
      </c>
      <c r="L228">
        <v>16</v>
      </c>
      <c r="M228" t="s">
        <v>26</v>
      </c>
      <c r="N228" t="s">
        <v>27</v>
      </c>
      <c r="O228" t="s">
        <v>27</v>
      </c>
      <c r="P228" t="s">
        <v>28</v>
      </c>
      <c r="Q228" t="s">
        <v>36</v>
      </c>
      <c r="R228">
        <v>11.5</v>
      </c>
      <c r="S228">
        <v>120.8</v>
      </c>
      <c r="T228">
        <v>8</v>
      </c>
      <c r="U228">
        <v>51</v>
      </c>
      <c r="V228">
        <v>10</v>
      </c>
    </row>
    <row r="229" spans="1:22" x14ac:dyDescent="0.35">
      <c r="A229" t="s">
        <v>499</v>
      </c>
      <c r="B229" t="s">
        <v>500</v>
      </c>
      <c r="C229" t="s">
        <v>43</v>
      </c>
      <c r="D229" t="s">
        <v>25</v>
      </c>
      <c r="E229">
        <v>2031</v>
      </c>
      <c r="F229">
        <v>325.2</v>
      </c>
      <c r="G229">
        <v>13.5</v>
      </c>
      <c r="H229">
        <v>698.3</v>
      </c>
      <c r="I229">
        <v>58.3</v>
      </c>
      <c r="J229">
        <v>16.7</v>
      </c>
      <c r="K229">
        <v>54.5</v>
      </c>
      <c r="L229">
        <v>13</v>
      </c>
      <c r="M229" t="s">
        <v>26</v>
      </c>
      <c r="N229" t="s">
        <v>26</v>
      </c>
      <c r="O229" t="s">
        <v>34</v>
      </c>
      <c r="P229" t="s">
        <v>28</v>
      </c>
      <c r="Q229" t="s">
        <v>36</v>
      </c>
      <c r="R229">
        <v>5.8</v>
      </c>
      <c r="S229">
        <v>-372.8</v>
      </c>
      <c r="T229">
        <v>16.8</v>
      </c>
      <c r="U229">
        <v>376</v>
      </c>
      <c r="V229">
        <v>6</v>
      </c>
    </row>
    <row r="230" spans="1:22" x14ac:dyDescent="0.35">
      <c r="A230" t="s">
        <v>501</v>
      </c>
      <c r="B230" t="s">
        <v>502</v>
      </c>
      <c r="C230" t="s">
        <v>62</v>
      </c>
      <c r="D230" t="s">
        <v>78</v>
      </c>
      <c r="E230">
        <v>2035</v>
      </c>
      <c r="F230">
        <v>155.6</v>
      </c>
      <c r="G230">
        <v>12.1</v>
      </c>
      <c r="H230">
        <v>144.6</v>
      </c>
      <c r="I230">
        <v>18.7</v>
      </c>
      <c r="J230">
        <v>3.4</v>
      </c>
      <c r="K230">
        <v>61.66</v>
      </c>
      <c r="L230">
        <v>25</v>
      </c>
      <c r="M230" t="s">
        <v>34</v>
      </c>
      <c r="N230" t="s">
        <v>27</v>
      </c>
      <c r="O230" t="s">
        <v>27</v>
      </c>
      <c r="P230" t="s">
        <v>28</v>
      </c>
      <c r="Q230" t="s">
        <v>65</v>
      </c>
      <c r="R230">
        <v>10.3</v>
      </c>
      <c r="S230">
        <v>153.80000000000001</v>
      </c>
      <c r="T230">
        <v>9.4</v>
      </c>
      <c r="U230">
        <v>117</v>
      </c>
      <c r="V230">
        <v>3</v>
      </c>
    </row>
    <row r="231" spans="1:22" x14ac:dyDescent="0.35">
      <c r="A231" t="s">
        <v>503</v>
      </c>
      <c r="B231" t="s">
        <v>504</v>
      </c>
      <c r="C231" t="s">
        <v>43</v>
      </c>
      <c r="D231" t="s">
        <v>57</v>
      </c>
      <c r="E231">
        <v>2033</v>
      </c>
      <c r="F231">
        <v>491.7</v>
      </c>
      <c r="G231">
        <v>21.8</v>
      </c>
      <c r="H231">
        <v>746</v>
      </c>
      <c r="I231">
        <v>117.2</v>
      </c>
      <c r="J231">
        <v>29.7</v>
      </c>
      <c r="K231">
        <v>152.16999999999999</v>
      </c>
      <c r="L231">
        <v>12</v>
      </c>
      <c r="M231" t="s">
        <v>27</v>
      </c>
      <c r="N231" t="s">
        <v>26</v>
      </c>
      <c r="O231" t="s">
        <v>26</v>
      </c>
      <c r="P231" t="s">
        <v>52</v>
      </c>
      <c r="Q231" t="s">
        <v>47</v>
      </c>
      <c r="R231">
        <v>11.9</v>
      </c>
      <c r="S231">
        <v>-30.7</v>
      </c>
      <c r="T231">
        <v>8.5</v>
      </c>
      <c r="U231">
        <v>450</v>
      </c>
      <c r="V231">
        <v>7</v>
      </c>
    </row>
    <row r="232" spans="1:22" x14ac:dyDescent="0.35">
      <c r="A232" t="s">
        <v>505</v>
      </c>
      <c r="B232" t="s">
        <v>506</v>
      </c>
      <c r="C232" t="s">
        <v>24</v>
      </c>
      <c r="D232" t="s">
        <v>40</v>
      </c>
      <c r="E232">
        <v>2034</v>
      </c>
      <c r="F232">
        <v>1060.7</v>
      </c>
      <c r="G232">
        <v>47.5</v>
      </c>
      <c r="H232">
        <v>2279.8000000000002</v>
      </c>
      <c r="I232">
        <v>312.8</v>
      </c>
      <c r="J232">
        <v>102.6</v>
      </c>
      <c r="K232">
        <v>1073.29</v>
      </c>
      <c r="L232">
        <v>25</v>
      </c>
      <c r="M232" t="s">
        <v>27</v>
      </c>
      <c r="N232" t="s">
        <v>34</v>
      </c>
      <c r="O232" t="s">
        <v>34</v>
      </c>
      <c r="P232" t="s">
        <v>52</v>
      </c>
      <c r="Q232" t="s">
        <v>36</v>
      </c>
      <c r="R232">
        <v>9.8000000000000007</v>
      </c>
      <c r="S232">
        <v>1187.0999999999999</v>
      </c>
      <c r="T232">
        <v>10.8</v>
      </c>
      <c r="U232">
        <v>1159</v>
      </c>
      <c r="V232">
        <v>3</v>
      </c>
    </row>
    <row r="233" spans="1:22" x14ac:dyDescent="0.35">
      <c r="A233" t="s">
        <v>507</v>
      </c>
      <c r="B233" t="s">
        <v>508</v>
      </c>
      <c r="C233" t="s">
        <v>120</v>
      </c>
      <c r="D233" t="s">
        <v>25</v>
      </c>
      <c r="E233">
        <v>2032</v>
      </c>
      <c r="F233">
        <v>638.29999999999995</v>
      </c>
      <c r="G233">
        <v>49</v>
      </c>
      <c r="H233">
        <v>1389.9</v>
      </c>
      <c r="I233">
        <v>296.3</v>
      </c>
      <c r="J233">
        <v>84.2</v>
      </c>
      <c r="K233">
        <v>1183.07</v>
      </c>
      <c r="L233">
        <v>25</v>
      </c>
      <c r="M233" t="s">
        <v>26</v>
      </c>
      <c r="N233" t="s">
        <v>26</v>
      </c>
      <c r="O233" t="s">
        <v>27</v>
      </c>
      <c r="P233" t="s">
        <v>52</v>
      </c>
      <c r="Q233" t="s">
        <v>36</v>
      </c>
      <c r="R233">
        <v>14.2</v>
      </c>
      <c r="S233">
        <v>2126.6</v>
      </c>
      <c r="T233">
        <v>6.6</v>
      </c>
      <c r="U233">
        <v>400</v>
      </c>
      <c r="V233">
        <v>5</v>
      </c>
    </row>
    <row r="234" spans="1:22" x14ac:dyDescent="0.35">
      <c r="A234" t="s">
        <v>509</v>
      </c>
      <c r="B234" t="s">
        <v>510</v>
      </c>
      <c r="C234" t="s">
        <v>39</v>
      </c>
      <c r="D234" t="s">
        <v>25</v>
      </c>
      <c r="E234">
        <v>2029</v>
      </c>
      <c r="F234">
        <v>374</v>
      </c>
      <c r="G234">
        <v>43.7</v>
      </c>
      <c r="H234">
        <v>813.5</v>
      </c>
      <c r="I234">
        <v>43.4</v>
      </c>
      <c r="J234">
        <v>41.1</v>
      </c>
      <c r="K234">
        <v>144.86000000000001</v>
      </c>
      <c r="L234">
        <v>29</v>
      </c>
      <c r="M234" t="s">
        <v>26</v>
      </c>
      <c r="N234" t="s">
        <v>27</v>
      </c>
      <c r="O234" t="s">
        <v>27</v>
      </c>
      <c r="P234" t="s">
        <v>28</v>
      </c>
      <c r="Q234" t="s">
        <v>29</v>
      </c>
      <c r="R234">
        <v>1.4</v>
      </c>
      <c r="S234">
        <v>-773.4</v>
      </c>
      <c r="T234">
        <v>351.3</v>
      </c>
      <c r="U234">
        <v>181</v>
      </c>
      <c r="V234">
        <v>2</v>
      </c>
    </row>
    <row r="235" spans="1:22" x14ac:dyDescent="0.35">
      <c r="A235" t="s">
        <v>511</v>
      </c>
      <c r="B235" t="s">
        <v>512</v>
      </c>
      <c r="C235" t="s">
        <v>62</v>
      </c>
      <c r="D235" t="s">
        <v>40</v>
      </c>
      <c r="E235">
        <v>2027</v>
      </c>
      <c r="F235">
        <v>145.9</v>
      </c>
      <c r="G235">
        <v>21.3</v>
      </c>
      <c r="H235">
        <v>281.8</v>
      </c>
      <c r="I235">
        <v>38.700000000000003</v>
      </c>
      <c r="J235">
        <v>7.3</v>
      </c>
      <c r="K235">
        <v>76.010000000000005</v>
      </c>
      <c r="L235">
        <v>26</v>
      </c>
      <c r="M235" t="s">
        <v>34</v>
      </c>
      <c r="N235" t="s">
        <v>26</v>
      </c>
      <c r="O235" t="s">
        <v>26</v>
      </c>
      <c r="P235" t="s">
        <v>28</v>
      </c>
      <c r="Q235" t="s">
        <v>65</v>
      </c>
      <c r="R235">
        <v>11.1</v>
      </c>
      <c r="S235">
        <v>293.2</v>
      </c>
      <c r="T235">
        <v>9</v>
      </c>
      <c r="U235">
        <v>113</v>
      </c>
      <c r="V235">
        <v>5</v>
      </c>
    </row>
    <row r="236" spans="1:22" x14ac:dyDescent="0.35">
      <c r="A236" t="s">
        <v>513</v>
      </c>
      <c r="B236" t="s">
        <v>514</v>
      </c>
      <c r="C236" t="s">
        <v>120</v>
      </c>
      <c r="D236" t="s">
        <v>78</v>
      </c>
      <c r="E236">
        <v>2029</v>
      </c>
      <c r="F236">
        <v>368.3</v>
      </c>
      <c r="G236">
        <v>45.9</v>
      </c>
      <c r="H236">
        <v>654.1</v>
      </c>
      <c r="I236">
        <v>17.8</v>
      </c>
      <c r="J236">
        <v>42.3</v>
      </c>
      <c r="K236">
        <v>994.03</v>
      </c>
      <c r="L236">
        <v>22</v>
      </c>
      <c r="M236" t="s">
        <v>34</v>
      </c>
      <c r="N236" t="s">
        <v>27</v>
      </c>
      <c r="O236" t="s">
        <v>26</v>
      </c>
      <c r="P236" t="s">
        <v>28</v>
      </c>
      <c r="Q236" t="s">
        <v>36</v>
      </c>
      <c r="R236">
        <v>-4.3</v>
      </c>
      <c r="S236">
        <v>-1059</v>
      </c>
      <c r="T236">
        <v>23.9</v>
      </c>
      <c r="U236">
        <v>494</v>
      </c>
      <c r="V236">
        <v>4</v>
      </c>
    </row>
    <row r="237" spans="1:22" x14ac:dyDescent="0.35">
      <c r="A237" t="s">
        <v>515</v>
      </c>
      <c r="B237" t="s">
        <v>516</v>
      </c>
      <c r="C237" t="s">
        <v>24</v>
      </c>
      <c r="D237" t="s">
        <v>57</v>
      </c>
      <c r="E237">
        <v>2033</v>
      </c>
      <c r="F237">
        <v>760</v>
      </c>
      <c r="G237">
        <v>52.8</v>
      </c>
      <c r="H237">
        <v>3166.4</v>
      </c>
      <c r="I237">
        <v>288.8</v>
      </c>
      <c r="J237">
        <v>117.8</v>
      </c>
      <c r="K237">
        <v>1404.76</v>
      </c>
      <c r="L237">
        <v>30</v>
      </c>
      <c r="M237" t="s">
        <v>26</v>
      </c>
      <c r="N237" t="s">
        <v>27</v>
      </c>
      <c r="O237" t="s">
        <v>27</v>
      </c>
      <c r="P237" t="s">
        <v>35</v>
      </c>
      <c r="Q237" t="s">
        <v>29</v>
      </c>
      <c r="R237">
        <v>6.5</v>
      </c>
      <c r="S237">
        <v>175</v>
      </c>
      <c r="T237">
        <v>18.5</v>
      </c>
      <c r="U237">
        <v>616</v>
      </c>
      <c r="V237">
        <v>4</v>
      </c>
    </row>
    <row r="238" spans="1:22" x14ac:dyDescent="0.35">
      <c r="A238" t="s">
        <v>517</v>
      </c>
      <c r="B238" t="s">
        <v>518</v>
      </c>
      <c r="C238" t="s">
        <v>120</v>
      </c>
      <c r="D238" t="s">
        <v>46</v>
      </c>
      <c r="E238">
        <v>2029</v>
      </c>
      <c r="F238">
        <v>543.4</v>
      </c>
      <c r="G238">
        <v>71.400000000000006</v>
      </c>
      <c r="H238">
        <v>462.7</v>
      </c>
      <c r="I238">
        <v>52.2</v>
      </c>
      <c r="J238">
        <v>19.600000000000001</v>
      </c>
      <c r="K238">
        <v>1472.35</v>
      </c>
      <c r="L238">
        <v>16</v>
      </c>
      <c r="M238" t="s">
        <v>26</v>
      </c>
      <c r="N238" t="s">
        <v>26</v>
      </c>
      <c r="O238" t="s">
        <v>27</v>
      </c>
      <c r="P238" t="s">
        <v>28</v>
      </c>
      <c r="Q238" t="s">
        <v>47</v>
      </c>
      <c r="R238">
        <v>7.3</v>
      </c>
      <c r="S238">
        <v>-112.3</v>
      </c>
      <c r="T238">
        <v>14.2</v>
      </c>
      <c r="U238">
        <v>379</v>
      </c>
      <c r="V238">
        <v>2</v>
      </c>
    </row>
    <row r="239" spans="1:22" x14ac:dyDescent="0.35">
      <c r="A239" t="s">
        <v>519</v>
      </c>
      <c r="B239" t="s">
        <v>520</v>
      </c>
      <c r="C239" t="s">
        <v>32</v>
      </c>
      <c r="D239" t="s">
        <v>78</v>
      </c>
      <c r="E239">
        <v>2032</v>
      </c>
      <c r="F239">
        <v>5.9</v>
      </c>
      <c r="G239">
        <v>66.900000000000006</v>
      </c>
      <c r="H239">
        <v>2526.1999999999998</v>
      </c>
      <c r="I239">
        <v>394.9</v>
      </c>
      <c r="J239">
        <v>164.2</v>
      </c>
      <c r="K239">
        <v>20.36</v>
      </c>
      <c r="L239">
        <v>23</v>
      </c>
      <c r="M239" t="s">
        <v>27</v>
      </c>
      <c r="N239" t="s">
        <v>26</v>
      </c>
      <c r="O239" t="s">
        <v>27</v>
      </c>
      <c r="P239" t="s">
        <v>28</v>
      </c>
      <c r="Q239" t="s">
        <v>29</v>
      </c>
      <c r="R239">
        <v>8.3000000000000007</v>
      </c>
      <c r="S239">
        <v>1091</v>
      </c>
      <c r="T239">
        <v>10.9</v>
      </c>
      <c r="U239">
        <v>10</v>
      </c>
      <c r="V239">
        <v>8</v>
      </c>
    </row>
    <row r="240" spans="1:22" x14ac:dyDescent="0.35">
      <c r="A240" t="s">
        <v>521</v>
      </c>
      <c r="B240" t="s">
        <v>522</v>
      </c>
      <c r="C240" t="s">
        <v>24</v>
      </c>
      <c r="D240" t="s">
        <v>40</v>
      </c>
      <c r="E240">
        <v>2030</v>
      </c>
      <c r="F240">
        <v>482.2</v>
      </c>
      <c r="G240">
        <v>48.3</v>
      </c>
      <c r="H240">
        <v>3014.1</v>
      </c>
      <c r="I240">
        <v>152.1</v>
      </c>
      <c r="J240">
        <v>134</v>
      </c>
      <c r="K240">
        <v>872.83</v>
      </c>
      <c r="L240">
        <v>25</v>
      </c>
      <c r="M240" t="s">
        <v>27</v>
      </c>
      <c r="N240" t="s">
        <v>34</v>
      </c>
      <c r="O240" t="s">
        <v>26</v>
      </c>
      <c r="P240" t="s">
        <v>52</v>
      </c>
      <c r="Q240" t="s">
        <v>36</v>
      </c>
      <c r="R240">
        <v>0.5</v>
      </c>
      <c r="S240">
        <v>-2663.5</v>
      </c>
      <c r="T240">
        <v>166.2</v>
      </c>
      <c r="U240">
        <v>212</v>
      </c>
      <c r="V240">
        <v>2</v>
      </c>
    </row>
    <row r="241" spans="1:22" x14ac:dyDescent="0.35">
      <c r="A241" t="s">
        <v>523</v>
      </c>
      <c r="B241" t="s">
        <v>524</v>
      </c>
      <c r="C241" t="s">
        <v>32</v>
      </c>
      <c r="D241" t="s">
        <v>33</v>
      </c>
      <c r="E241">
        <v>2032</v>
      </c>
      <c r="F241">
        <v>3</v>
      </c>
      <c r="G241">
        <v>82.8</v>
      </c>
      <c r="H241">
        <v>2788.6</v>
      </c>
      <c r="I241">
        <v>457.6</v>
      </c>
      <c r="J241">
        <v>166</v>
      </c>
      <c r="K241">
        <v>12</v>
      </c>
      <c r="L241">
        <v>30</v>
      </c>
      <c r="M241" t="s">
        <v>27</v>
      </c>
      <c r="N241" t="s">
        <v>26</v>
      </c>
      <c r="O241" t="s">
        <v>34</v>
      </c>
      <c r="P241" t="s">
        <v>35</v>
      </c>
      <c r="Q241" t="s">
        <v>65</v>
      </c>
      <c r="R241">
        <v>10.7</v>
      </c>
      <c r="S241">
        <v>3199.9</v>
      </c>
      <c r="T241">
        <v>9.6</v>
      </c>
      <c r="U241">
        <v>10</v>
      </c>
      <c r="V241">
        <v>8</v>
      </c>
    </row>
    <row r="242" spans="1:22" x14ac:dyDescent="0.35">
      <c r="A242" t="s">
        <v>525</v>
      </c>
      <c r="B242" t="s">
        <v>526</v>
      </c>
      <c r="C242" t="s">
        <v>120</v>
      </c>
      <c r="D242" t="s">
        <v>33</v>
      </c>
      <c r="E242">
        <v>2033</v>
      </c>
      <c r="F242">
        <v>437</v>
      </c>
      <c r="G242">
        <v>65.900000000000006</v>
      </c>
      <c r="H242">
        <v>1567.4</v>
      </c>
      <c r="I242">
        <v>2</v>
      </c>
      <c r="J242">
        <v>77.2</v>
      </c>
      <c r="K242">
        <v>1214.06</v>
      </c>
      <c r="L242">
        <v>22</v>
      </c>
      <c r="M242" t="s">
        <v>27</v>
      </c>
      <c r="N242" t="s">
        <v>27</v>
      </c>
      <c r="O242" t="s">
        <v>27</v>
      </c>
      <c r="P242" t="s">
        <v>28</v>
      </c>
      <c r="Q242" t="s">
        <v>47</v>
      </c>
      <c r="R242">
        <v>-6</v>
      </c>
      <c r="S242">
        <v>-2857.1</v>
      </c>
      <c r="T242">
        <v>41.9</v>
      </c>
      <c r="U242">
        <v>652</v>
      </c>
      <c r="V242">
        <v>10</v>
      </c>
    </row>
    <row r="243" spans="1:22" x14ac:dyDescent="0.35">
      <c r="A243" t="s">
        <v>527</v>
      </c>
      <c r="B243" t="s">
        <v>528</v>
      </c>
      <c r="C243" t="s">
        <v>97</v>
      </c>
      <c r="D243" t="s">
        <v>40</v>
      </c>
      <c r="E243">
        <v>2028</v>
      </c>
      <c r="F243">
        <v>134.80000000000001</v>
      </c>
      <c r="G243">
        <v>37.4</v>
      </c>
      <c r="H243">
        <v>94.3</v>
      </c>
      <c r="I243">
        <v>9.1</v>
      </c>
      <c r="J243">
        <v>2.2999999999999998</v>
      </c>
      <c r="K243">
        <v>120.93</v>
      </c>
      <c r="L243">
        <v>19</v>
      </c>
      <c r="M243" t="s">
        <v>26</v>
      </c>
      <c r="N243" t="s">
        <v>26</v>
      </c>
      <c r="O243" t="s">
        <v>26</v>
      </c>
      <c r="P243" t="s">
        <v>35</v>
      </c>
      <c r="Q243" t="s">
        <v>65</v>
      </c>
      <c r="R243">
        <v>6.2</v>
      </c>
      <c r="S243">
        <v>-13.9</v>
      </c>
      <c r="T243">
        <v>13.8</v>
      </c>
      <c r="U243">
        <v>124</v>
      </c>
      <c r="V243">
        <v>6</v>
      </c>
    </row>
    <row r="244" spans="1:22" x14ac:dyDescent="0.35">
      <c r="A244" t="s">
        <v>529</v>
      </c>
      <c r="B244" t="s">
        <v>530</v>
      </c>
      <c r="C244" t="s">
        <v>120</v>
      </c>
      <c r="D244" t="s">
        <v>33</v>
      </c>
      <c r="E244">
        <v>2034</v>
      </c>
      <c r="F244">
        <v>332.1</v>
      </c>
      <c r="G244">
        <v>71.400000000000006</v>
      </c>
      <c r="H244">
        <v>2178.6</v>
      </c>
      <c r="I244">
        <v>181.3</v>
      </c>
      <c r="J244">
        <v>107.6</v>
      </c>
      <c r="K244">
        <v>774.66</v>
      </c>
      <c r="L244">
        <v>16</v>
      </c>
      <c r="M244" t="s">
        <v>26</v>
      </c>
      <c r="N244" t="s">
        <v>27</v>
      </c>
      <c r="O244" t="s">
        <v>34</v>
      </c>
      <c r="P244" t="s">
        <v>28</v>
      </c>
      <c r="Q244" t="s">
        <v>29</v>
      </c>
      <c r="R244">
        <v>3.3</v>
      </c>
      <c r="S244">
        <v>-1283.9000000000001</v>
      </c>
      <c r="T244">
        <v>29.6</v>
      </c>
      <c r="U244">
        <v>238</v>
      </c>
      <c r="V244">
        <v>2</v>
      </c>
    </row>
    <row r="245" spans="1:22" x14ac:dyDescent="0.35">
      <c r="A245" t="s">
        <v>531</v>
      </c>
      <c r="B245" t="s">
        <v>532</v>
      </c>
      <c r="C245" t="s">
        <v>24</v>
      </c>
      <c r="D245" t="s">
        <v>33</v>
      </c>
      <c r="E245">
        <v>2033</v>
      </c>
      <c r="F245">
        <v>493.7</v>
      </c>
      <c r="G245">
        <v>44.5</v>
      </c>
      <c r="H245">
        <v>2382.4</v>
      </c>
      <c r="I245">
        <v>98</v>
      </c>
      <c r="J245">
        <v>83.4</v>
      </c>
      <c r="K245">
        <v>761.41</v>
      </c>
      <c r="L245">
        <v>29</v>
      </c>
      <c r="M245" t="s">
        <v>26</v>
      </c>
      <c r="N245" t="s">
        <v>26</v>
      </c>
      <c r="O245" t="s">
        <v>27</v>
      </c>
      <c r="P245" t="s">
        <v>28</v>
      </c>
      <c r="Q245" t="s">
        <v>65</v>
      </c>
      <c r="R245">
        <v>0.9</v>
      </c>
      <c r="S245">
        <v>-2096</v>
      </c>
      <c r="T245">
        <v>163.30000000000001</v>
      </c>
      <c r="U245">
        <v>603</v>
      </c>
      <c r="V245">
        <v>4</v>
      </c>
    </row>
    <row r="246" spans="1:22" x14ac:dyDescent="0.35">
      <c r="A246" t="s">
        <v>533</v>
      </c>
      <c r="B246" t="s">
        <v>534</v>
      </c>
      <c r="C246" t="s">
        <v>97</v>
      </c>
      <c r="D246" t="s">
        <v>33</v>
      </c>
      <c r="E246">
        <v>2033</v>
      </c>
      <c r="F246">
        <v>102.4</v>
      </c>
      <c r="G246">
        <v>31.2</v>
      </c>
      <c r="H246">
        <v>284.89999999999998</v>
      </c>
      <c r="I246">
        <v>25.9</v>
      </c>
      <c r="J246">
        <v>5.6</v>
      </c>
      <c r="K246">
        <v>54.11</v>
      </c>
      <c r="L246">
        <v>19</v>
      </c>
      <c r="M246" t="s">
        <v>27</v>
      </c>
      <c r="N246" t="s">
        <v>26</v>
      </c>
      <c r="O246" t="s">
        <v>27</v>
      </c>
      <c r="P246" t="s">
        <v>35</v>
      </c>
      <c r="Q246" t="s">
        <v>29</v>
      </c>
      <c r="R246">
        <v>8.1</v>
      </c>
      <c r="S246">
        <v>-12.9</v>
      </c>
      <c r="T246">
        <v>14</v>
      </c>
      <c r="U246">
        <v>100</v>
      </c>
      <c r="V246">
        <v>6</v>
      </c>
    </row>
    <row r="247" spans="1:22" x14ac:dyDescent="0.35">
      <c r="A247" t="s">
        <v>535</v>
      </c>
      <c r="B247" t="s">
        <v>536</v>
      </c>
      <c r="C247" t="s">
        <v>32</v>
      </c>
      <c r="D247" t="s">
        <v>33</v>
      </c>
      <c r="E247">
        <v>2035</v>
      </c>
      <c r="F247">
        <v>3.6</v>
      </c>
      <c r="G247">
        <v>64.8</v>
      </c>
      <c r="H247">
        <v>1912.9</v>
      </c>
      <c r="I247">
        <v>2</v>
      </c>
      <c r="J247">
        <v>77</v>
      </c>
      <c r="K247">
        <v>12.07</v>
      </c>
      <c r="L247">
        <v>29</v>
      </c>
      <c r="M247" t="s">
        <v>26</v>
      </c>
      <c r="N247" t="s">
        <v>27</v>
      </c>
      <c r="O247" t="s">
        <v>27</v>
      </c>
      <c r="P247" t="s">
        <v>35</v>
      </c>
      <c r="Q247" t="s">
        <v>47</v>
      </c>
      <c r="R247">
        <v>-10</v>
      </c>
      <c r="S247">
        <v>-5958</v>
      </c>
      <c r="T247">
        <v>49.1</v>
      </c>
      <c r="U247">
        <v>10</v>
      </c>
      <c r="V247">
        <v>1</v>
      </c>
    </row>
    <row r="248" spans="1:22" x14ac:dyDescent="0.35">
      <c r="A248" t="s">
        <v>537</v>
      </c>
      <c r="B248" t="s">
        <v>538</v>
      </c>
      <c r="C248" t="s">
        <v>43</v>
      </c>
      <c r="D248" t="s">
        <v>57</v>
      </c>
      <c r="E248">
        <v>2029</v>
      </c>
      <c r="F248">
        <v>434.5</v>
      </c>
      <c r="G248">
        <v>17.3</v>
      </c>
      <c r="H248">
        <v>793.5</v>
      </c>
      <c r="I248">
        <v>118.8</v>
      </c>
      <c r="J248">
        <v>25.6</v>
      </c>
      <c r="K248">
        <v>160.35</v>
      </c>
      <c r="L248">
        <v>16</v>
      </c>
      <c r="M248" t="s">
        <v>26</v>
      </c>
      <c r="N248" t="s">
        <v>27</v>
      </c>
      <c r="O248" t="s">
        <v>27</v>
      </c>
      <c r="P248" t="s">
        <v>28</v>
      </c>
      <c r="Q248" t="s">
        <v>29</v>
      </c>
      <c r="R248">
        <v>11.7</v>
      </c>
      <c r="S248">
        <v>155</v>
      </c>
      <c r="T248">
        <v>8.5</v>
      </c>
      <c r="U248">
        <v>685</v>
      </c>
      <c r="V248">
        <v>3</v>
      </c>
    </row>
    <row r="249" spans="1:22" x14ac:dyDescent="0.35">
      <c r="A249" t="s">
        <v>539</v>
      </c>
      <c r="B249" t="s">
        <v>540</v>
      </c>
      <c r="C249" t="s">
        <v>62</v>
      </c>
      <c r="D249" t="s">
        <v>25</v>
      </c>
      <c r="E249">
        <v>2031</v>
      </c>
      <c r="F249">
        <v>196.3</v>
      </c>
      <c r="G249">
        <v>23.3</v>
      </c>
      <c r="H249">
        <v>276.39999999999998</v>
      </c>
      <c r="I249">
        <v>25.9</v>
      </c>
      <c r="J249">
        <v>4.0999999999999996</v>
      </c>
      <c r="K249">
        <v>126.04</v>
      </c>
      <c r="L249">
        <v>25</v>
      </c>
      <c r="M249" t="s">
        <v>27</v>
      </c>
      <c r="N249" t="s">
        <v>27</v>
      </c>
      <c r="O249" t="s">
        <v>34</v>
      </c>
      <c r="P249" t="s">
        <v>28</v>
      </c>
      <c r="Q249" t="s">
        <v>47</v>
      </c>
      <c r="R249">
        <v>7.7</v>
      </c>
      <c r="S249">
        <v>118.8</v>
      </c>
      <c r="T249">
        <v>12.7</v>
      </c>
      <c r="U249">
        <v>101</v>
      </c>
      <c r="V249">
        <v>8</v>
      </c>
    </row>
    <row r="250" spans="1:22" x14ac:dyDescent="0.35">
      <c r="A250" t="s">
        <v>541</v>
      </c>
      <c r="B250" t="s">
        <v>542</v>
      </c>
      <c r="C250" t="s">
        <v>39</v>
      </c>
      <c r="D250" t="s">
        <v>78</v>
      </c>
      <c r="E250">
        <v>2035</v>
      </c>
      <c r="F250">
        <v>873.4</v>
      </c>
      <c r="G250">
        <v>39.5</v>
      </c>
      <c r="H250">
        <v>1362.6</v>
      </c>
      <c r="I250">
        <v>153.80000000000001</v>
      </c>
      <c r="J250">
        <v>34.6</v>
      </c>
      <c r="K250">
        <v>84.43</v>
      </c>
      <c r="L250">
        <v>29</v>
      </c>
      <c r="M250" t="s">
        <v>26</v>
      </c>
      <c r="N250" t="s">
        <v>27</v>
      </c>
      <c r="O250" t="s">
        <v>26</v>
      </c>
      <c r="P250" t="s">
        <v>35</v>
      </c>
      <c r="Q250" t="s">
        <v>47</v>
      </c>
      <c r="R250">
        <v>9.6</v>
      </c>
      <c r="S250">
        <v>902.4</v>
      </c>
      <c r="T250">
        <v>11.4</v>
      </c>
      <c r="U250">
        <v>551</v>
      </c>
      <c r="V250">
        <v>4</v>
      </c>
    </row>
    <row r="251" spans="1:22" x14ac:dyDescent="0.35">
      <c r="A251" t="s">
        <v>543</v>
      </c>
      <c r="B251" t="s">
        <v>544</v>
      </c>
      <c r="C251" t="s">
        <v>39</v>
      </c>
      <c r="D251" t="s">
        <v>46</v>
      </c>
      <c r="E251">
        <v>2035</v>
      </c>
      <c r="F251">
        <v>580.70000000000005</v>
      </c>
      <c r="G251">
        <v>59.1</v>
      </c>
      <c r="H251">
        <v>647.70000000000005</v>
      </c>
      <c r="I251">
        <v>104.3</v>
      </c>
      <c r="J251">
        <v>32</v>
      </c>
      <c r="K251">
        <v>60.13</v>
      </c>
      <c r="L251">
        <v>39</v>
      </c>
      <c r="M251" t="s">
        <v>27</v>
      </c>
      <c r="N251" t="s">
        <v>26</v>
      </c>
      <c r="O251" t="s">
        <v>27</v>
      </c>
      <c r="P251" t="s">
        <v>28</v>
      </c>
      <c r="Q251" t="s">
        <v>36</v>
      </c>
      <c r="R251">
        <v>10.9</v>
      </c>
      <c r="S251">
        <v>1154</v>
      </c>
      <c r="T251">
        <v>9</v>
      </c>
      <c r="U251">
        <v>637</v>
      </c>
      <c r="V251">
        <v>10</v>
      </c>
    </row>
    <row r="252" spans="1:22" x14ac:dyDescent="0.35">
      <c r="A252" t="s">
        <v>545</v>
      </c>
      <c r="B252" t="s">
        <v>546</v>
      </c>
      <c r="C252" t="s">
        <v>62</v>
      </c>
      <c r="D252" t="s">
        <v>46</v>
      </c>
      <c r="E252">
        <v>2028</v>
      </c>
      <c r="F252">
        <v>271.7</v>
      </c>
      <c r="G252">
        <v>12.2</v>
      </c>
      <c r="H252">
        <v>599.79999999999995</v>
      </c>
      <c r="I252">
        <v>97</v>
      </c>
      <c r="J252">
        <v>13.2</v>
      </c>
      <c r="K252">
        <v>116.04</v>
      </c>
      <c r="L252">
        <v>29</v>
      </c>
      <c r="M252" t="s">
        <v>26</v>
      </c>
      <c r="N252" t="s">
        <v>26</v>
      </c>
      <c r="O252" t="s">
        <v>26</v>
      </c>
      <c r="P252" t="s">
        <v>35</v>
      </c>
      <c r="Q252" t="s">
        <v>47</v>
      </c>
      <c r="R252">
        <v>14.6</v>
      </c>
      <c r="S252">
        <v>1235.4000000000001</v>
      </c>
      <c r="T252">
        <v>7.2</v>
      </c>
      <c r="U252">
        <v>432</v>
      </c>
      <c r="V252">
        <v>10</v>
      </c>
    </row>
    <row r="253" spans="1:22" x14ac:dyDescent="0.35">
      <c r="A253" t="s">
        <v>547</v>
      </c>
      <c r="B253" t="s">
        <v>548</v>
      </c>
      <c r="C253" t="s">
        <v>24</v>
      </c>
      <c r="D253" t="s">
        <v>57</v>
      </c>
      <c r="E253">
        <v>2035</v>
      </c>
      <c r="F253">
        <v>468.4</v>
      </c>
      <c r="G253">
        <v>51.8</v>
      </c>
      <c r="H253">
        <v>2408.6999999999998</v>
      </c>
      <c r="I253">
        <v>183.7</v>
      </c>
      <c r="J253">
        <v>70.5</v>
      </c>
      <c r="K253">
        <v>946.47</v>
      </c>
      <c r="L253">
        <v>25</v>
      </c>
      <c r="M253" t="s">
        <v>27</v>
      </c>
      <c r="N253" t="s">
        <v>27</v>
      </c>
      <c r="O253" t="s">
        <v>27</v>
      </c>
      <c r="P253" t="s">
        <v>35</v>
      </c>
      <c r="Q253" t="s">
        <v>36</v>
      </c>
      <c r="R253">
        <v>4.2</v>
      </c>
      <c r="S253">
        <v>-652.6</v>
      </c>
      <c r="T253">
        <v>21.3</v>
      </c>
      <c r="U253">
        <v>458</v>
      </c>
      <c r="V253">
        <v>5</v>
      </c>
    </row>
    <row r="254" spans="1:22" x14ac:dyDescent="0.35">
      <c r="A254" t="s">
        <v>549</v>
      </c>
      <c r="B254" t="s">
        <v>550</v>
      </c>
      <c r="C254" t="s">
        <v>32</v>
      </c>
      <c r="D254" t="s">
        <v>25</v>
      </c>
      <c r="E254">
        <v>2028</v>
      </c>
      <c r="F254">
        <v>5.9</v>
      </c>
      <c r="G254">
        <v>63.1</v>
      </c>
      <c r="H254">
        <v>1076.2</v>
      </c>
      <c r="I254">
        <v>57.2</v>
      </c>
      <c r="J254">
        <v>69.900000000000006</v>
      </c>
      <c r="K254">
        <v>11.26</v>
      </c>
      <c r="L254">
        <v>26</v>
      </c>
      <c r="M254" t="s">
        <v>26</v>
      </c>
      <c r="N254" t="s">
        <v>27</v>
      </c>
      <c r="O254" t="s">
        <v>27</v>
      </c>
      <c r="P254" t="s">
        <v>28</v>
      </c>
      <c r="Q254" t="s">
        <v>65</v>
      </c>
      <c r="R254">
        <v>-1</v>
      </c>
      <c r="S254">
        <v>-1286.5</v>
      </c>
      <c r="T254">
        <v>51</v>
      </c>
      <c r="U254">
        <v>10</v>
      </c>
      <c r="V254">
        <v>1</v>
      </c>
    </row>
    <row r="255" spans="1:22" x14ac:dyDescent="0.35">
      <c r="A255" t="s">
        <v>551</v>
      </c>
      <c r="B255" t="s">
        <v>552</v>
      </c>
      <c r="C255" t="s">
        <v>62</v>
      </c>
      <c r="D255" t="s">
        <v>57</v>
      </c>
      <c r="E255">
        <v>2031</v>
      </c>
      <c r="F255">
        <v>453.1</v>
      </c>
      <c r="G255">
        <v>16</v>
      </c>
      <c r="H255">
        <v>395.8</v>
      </c>
      <c r="I255">
        <v>46.9</v>
      </c>
      <c r="J255">
        <v>7.6</v>
      </c>
      <c r="K255">
        <v>228.15</v>
      </c>
      <c r="L255">
        <v>25</v>
      </c>
      <c r="M255" t="s">
        <v>26</v>
      </c>
      <c r="N255" t="s">
        <v>27</v>
      </c>
      <c r="O255" t="s">
        <v>27</v>
      </c>
      <c r="P255" t="s">
        <v>52</v>
      </c>
      <c r="Q255" t="s">
        <v>65</v>
      </c>
      <c r="R255">
        <v>9.3000000000000007</v>
      </c>
      <c r="S255">
        <v>233.3</v>
      </c>
      <c r="T255">
        <v>10.1</v>
      </c>
      <c r="U255">
        <v>718</v>
      </c>
      <c r="V255">
        <v>10</v>
      </c>
    </row>
    <row r="256" spans="1:22" x14ac:dyDescent="0.35">
      <c r="A256" t="s">
        <v>553</v>
      </c>
      <c r="B256" t="s">
        <v>554</v>
      </c>
      <c r="C256" t="s">
        <v>32</v>
      </c>
      <c r="D256" t="s">
        <v>78</v>
      </c>
      <c r="E256">
        <v>2029</v>
      </c>
      <c r="F256">
        <v>4.5</v>
      </c>
      <c r="G256">
        <v>86.9</v>
      </c>
      <c r="H256">
        <v>1451.1</v>
      </c>
      <c r="I256">
        <v>98.2</v>
      </c>
      <c r="J256">
        <v>76</v>
      </c>
      <c r="K256">
        <v>21.56</v>
      </c>
      <c r="L256">
        <v>29</v>
      </c>
      <c r="M256" t="s">
        <v>34</v>
      </c>
      <c r="N256" t="s">
        <v>26</v>
      </c>
      <c r="O256" t="s">
        <v>26</v>
      </c>
      <c r="P256" t="s">
        <v>52</v>
      </c>
      <c r="Q256" t="s">
        <v>36</v>
      </c>
      <c r="R256">
        <v>2.6</v>
      </c>
      <c r="S256">
        <v>-1064.8</v>
      </c>
      <c r="T256">
        <v>65.400000000000006</v>
      </c>
      <c r="U256">
        <v>10</v>
      </c>
      <c r="V256">
        <v>7</v>
      </c>
    </row>
    <row r="257" spans="1:22" x14ac:dyDescent="0.35">
      <c r="A257" t="s">
        <v>555</v>
      </c>
      <c r="B257" t="s">
        <v>556</v>
      </c>
      <c r="C257" t="s">
        <v>62</v>
      </c>
      <c r="D257" t="s">
        <v>40</v>
      </c>
      <c r="E257">
        <v>2034</v>
      </c>
      <c r="F257">
        <v>454.1</v>
      </c>
      <c r="G257">
        <v>13.9</v>
      </c>
      <c r="H257">
        <v>329.1</v>
      </c>
      <c r="I257">
        <v>7.2</v>
      </c>
      <c r="J257">
        <v>5</v>
      </c>
      <c r="K257">
        <v>197.95</v>
      </c>
      <c r="L257">
        <v>27</v>
      </c>
      <c r="M257" t="s">
        <v>27</v>
      </c>
      <c r="N257" t="s">
        <v>26</v>
      </c>
      <c r="O257" t="s">
        <v>26</v>
      </c>
      <c r="P257" t="s">
        <v>52</v>
      </c>
      <c r="Q257" t="s">
        <v>65</v>
      </c>
      <c r="R257">
        <v>0.8</v>
      </c>
      <c r="S257">
        <v>-293.39999999999998</v>
      </c>
      <c r="T257">
        <v>153.30000000000001</v>
      </c>
      <c r="U257">
        <v>709</v>
      </c>
      <c r="V257">
        <v>1</v>
      </c>
    </row>
    <row r="258" spans="1:22" x14ac:dyDescent="0.35">
      <c r="A258" t="s">
        <v>557</v>
      </c>
      <c r="B258" t="s">
        <v>558</v>
      </c>
      <c r="C258" t="s">
        <v>39</v>
      </c>
      <c r="D258" t="s">
        <v>57</v>
      </c>
      <c r="E258">
        <v>2033</v>
      </c>
      <c r="F258">
        <v>287.2</v>
      </c>
      <c r="G258">
        <v>71.400000000000006</v>
      </c>
      <c r="H258">
        <v>1288.9000000000001</v>
      </c>
      <c r="I258">
        <v>262.89999999999998</v>
      </c>
      <c r="J258">
        <v>28.1</v>
      </c>
      <c r="K258">
        <v>228.53</v>
      </c>
      <c r="L258">
        <v>38</v>
      </c>
      <c r="M258" t="s">
        <v>26</v>
      </c>
      <c r="N258" t="s">
        <v>27</v>
      </c>
      <c r="O258" t="s">
        <v>27</v>
      </c>
      <c r="P258" t="s">
        <v>52</v>
      </c>
      <c r="Q258" t="s">
        <v>65</v>
      </c>
      <c r="R258">
        <v>17.100000000000001</v>
      </c>
      <c r="S258">
        <v>5135.8999999999996</v>
      </c>
      <c r="T258">
        <v>5.5</v>
      </c>
      <c r="U258">
        <v>144</v>
      </c>
      <c r="V258">
        <v>10</v>
      </c>
    </row>
    <row r="259" spans="1:22" x14ac:dyDescent="0.35">
      <c r="A259" t="s">
        <v>559</v>
      </c>
      <c r="B259" t="s">
        <v>560</v>
      </c>
      <c r="C259" t="s">
        <v>97</v>
      </c>
      <c r="D259" t="s">
        <v>57</v>
      </c>
      <c r="E259">
        <v>2031</v>
      </c>
      <c r="F259">
        <v>139.9</v>
      </c>
      <c r="G259">
        <v>38.1</v>
      </c>
      <c r="H259">
        <v>85.9</v>
      </c>
      <c r="I259">
        <v>8.3000000000000007</v>
      </c>
      <c r="J259">
        <v>2.2000000000000002</v>
      </c>
      <c r="K259">
        <v>161.55000000000001</v>
      </c>
      <c r="L259">
        <v>17</v>
      </c>
      <c r="M259" t="s">
        <v>26</v>
      </c>
      <c r="N259" t="s">
        <v>34</v>
      </c>
      <c r="O259" t="s">
        <v>26</v>
      </c>
      <c r="P259" t="s">
        <v>28</v>
      </c>
      <c r="Q259" t="s">
        <v>29</v>
      </c>
      <c r="R259">
        <v>6.5</v>
      </c>
      <c r="S259">
        <v>-19.600000000000001</v>
      </c>
      <c r="T259">
        <v>14</v>
      </c>
      <c r="U259">
        <v>140</v>
      </c>
      <c r="V259">
        <v>4</v>
      </c>
    </row>
    <row r="260" spans="1:22" x14ac:dyDescent="0.35">
      <c r="A260" t="s">
        <v>561</v>
      </c>
      <c r="B260" t="s">
        <v>562</v>
      </c>
      <c r="C260" t="s">
        <v>120</v>
      </c>
      <c r="D260" t="s">
        <v>78</v>
      </c>
      <c r="E260">
        <v>2027</v>
      </c>
      <c r="F260">
        <v>637.70000000000005</v>
      </c>
      <c r="G260">
        <v>48.7</v>
      </c>
      <c r="H260">
        <v>1139.5999999999999</v>
      </c>
      <c r="I260">
        <v>139.19999999999999</v>
      </c>
      <c r="J260">
        <v>57.2</v>
      </c>
      <c r="K260">
        <v>1375.02</v>
      </c>
      <c r="L260">
        <v>17</v>
      </c>
      <c r="M260" t="s">
        <v>27</v>
      </c>
      <c r="N260" t="s">
        <v>34</v>
      </c>
      <c r="O260" t="s">
        <v>27</v>
      </c>
      <c r="P260" t="s">
        <v>52</v>
      </c>
      <c r="Q260" t="s">
        <v>29</v>
      </c>
      <c r="R260">
        <v>7.9</v>
      </c>
      <c r="S260">
        <v>-102.3</v>
      </c>
      <c r="T260">
        <v>13.9</v>
      </c>
      <c r="U260">
        <v>862</v>
      </c>
      <c r="V260">
        <v>9</v>
      </c>
    </row>
    <row r="261" spans="1:22" x14ac:dyDescent="0.35">
      <c r="A261" t="s">
        <v>563</v>
      </c>
      <c r="B261" t="s">
        <v>564</v>
      </c>
      <c r="C261" t="s">
        <v>24</v>
      </c>
      <c r="D261" t="s">
        <v>57</v>
      </c>
      <c r="E261">
        <v>2031</v>
      </c>
      <c r="F261">
        <v>259.3</v>
      </c>
      <c r="G261">
        <v>48</v>
      </c>
      <c r="H261">
        <v>1034.5</v>
      </c>
      <c r="I261">
        <v>136.6</v>
      </c>
      <c r="J261">
        <v>47.9</v>
      </c>
      <c r="K261">
        <v>518.45000000000005</v>
      </c>
      <c r="L261">
        <v>29</v>
      </c>
      <c r="M261" t="s">
        <v>34</v>
      </c>
      <c r="N261" t="s">
        <v>34</v>
      </c>
      <c r="O261" t="s">
        <v>26</v>
      </c>
      <c r="P261" t="s">
        <v>35</v>
      </c>
      <c r="Q261" t="s">
        <v>47</v>
      </c>
      <c r="R261">
        <v>9.6999999999999993</v>
      </c>
      <c r="S261">
        <v>853.3</v>
      </c>
      <c r="T261">
        <v>11.7</v>
      </c>
      <c r="U261">
        <v>262</v>
      </c>
      <c r="V261">
        <v>2</v>
      </c>
    </row>
    <row r="262" spans="1:22" x14ac:dyDescent="0.35">
      <c r="A262" t="s">
        <v>565</v>
      </c>
      <c r="B262" t="s">
        <v>566</v>
      </c>
      <c r="C262" t="s">
        <v>43</v>
      </c>
      <c r="D262" t="s">
        <v>33</v>
      </c>
      <c r="E262">
        <v>2030</v>
      </c>
      <c r="F262">
        <v>51.4</v>
      </c>
      <c r="G262">
        <v>15.7</v>
      </c>
      <c r="H262">
        <v>83.3</v>
      </c>
      <c r="I262">
        <v>5.8</v>
      </c>
      <c r="J262">
        <v>2.4</v>
      </c>
      <c r="K262">
        <v>20.55</v>
      </c>
      <c r="L262">
        <v>16</v>
      </c>
      <c r="M262" t="s">
        <v>26</v>
      </c>
      <c r="N262" t="s">
        <v>34</v>
      </c>
      <c r="O262" t="s">
        <v>27</v>
      </c>
      <c r="P262" t="s">
        <v>52</v>
      </c>
      <c r="Q262" t="s">
        <v>65</v>
      </c>
      <c r="R262">
        <v>3.3</v>
      </c>
      <c r="S262">
        <v>-42.6</v>
      </c>
      <c r="T262">
        <v>24.6</v>
      </c>
      <c r="U262">
        <v>35</v>
      </c>
      <c r="V262">
        <v>10</v>
      </c>
    </row>
    <row r="263" spans="1:22" x14ac:dyDescent="0.35">
      <c r="A263" t="s">
        <v>567</v>
      </c>
      <c r="B263" t="s">
        <v>568</v>
      </c>
      <c r="C263" t="s">
        <v>43</v>
      </c>
      <c r="D263" t="s">
        <v>78</v>
      </c>
      <c r="E263">
        <v>2028</v>
      </c>
      <c r="F263">
        <v>371.3</v>
      </c>
      <c r="G263">
        <v>32.9</v>
      </c>
      <c r="H263">
        <v>195.4</v>
      </c>
      <c r="I263">
        <v>35.299999999999997</v>
      </c>
      <c r="J263">
        <v>7.1</v>
      </c>
      <c r="K263">
        <v>120.29</v>
      </c>
      <c r="L263">
        <v>12</v>
      </c>
      <c r="M263" t="s">
        <v>26</v>
      </c>
      <c r="N263" t="s">
        <v>27</v>
      </c>
      <c r="O263" t="s">
        <v>27</v>
      </c>
      <c r="P263" t="s">
        <v>52</v>
      </c>
      <c r="Q263" t="s">
        <v>36</v>
      </c>
      <c r="R263">
        <v>14.8</v>
      </c>
      <c r="S263">
        <v>37.200000000000003</v>
      </c>
      <c r="T263">
        <v>6.9</v>
      </c>
      <c r="U263">
        <v>322</v>
      </c>
      <c r="V263">
        <v>1</v>
      </c>
    </row>
    <row r="264" spans="1:22" x14ac:dyDescent="0.35">
      <c r="A264" t="s">
        <v>569</v>
      </c>
      <c r="B264" t="s">
        <v>570</v>
      </c>
      <c r="C264" t="s">
        <v>39</v>
      </c>
      <c r="D264" t="s">
        <v>78</v>
      </c>
      <c r="E264">
        <v>2034</v>
      </c>
      <c r="F264">
        <v>802.8</v>
      </c>
      <c r="G264">
        <v>73.900000000000006</v>
      </c>
      <c r="H264">
        <v>744</v>
      </c>
      <c r="I264">
        <v>125.1</v>
      </c>
      <c r="J264">
        <v>31.5</v>
      </c>
      <c r="K264">
        <v>465.94</v>
      </c>
      <c r="L264">
        <v>38</v>
      </c>
      <c r="M264" t="s">
        <v>26</v>
      </c>
      <c r="N264" t="s">
        <v>34</v>
      </c>
      <c r="O264" t="s">
        <v>26</v>
      </c>
      <c r="P264" t="s">
        <v>35</v>
      </c>
      <c r="Q264" t="s">
        <v>47</v>
      </c>
      <c r="R264">
        <v>12.9</v>
      </c>
      <c r="S264">
        <v>1775</v>
      </c>
      <c r="T264">
        <v>7.9</v>
      </c>
      <c r="U264">
        <v>408</v>
      </c>
      <c r="V264">
        <v>2</v>
      </c>
    </row>
    <row r="265" spans="1:22" x14ac:dyDescent="0.35">
      <c r="A265" t="s">
        <v>571</v>
      </c>
      <c r="B265" t="s">
        <v>572</v>
      </c>
      <c r="C265" t="s">
        <v>120</v>
      </c>
      <c r="D265" t="s">
        <v>78</v>
      </c>
      <c r="E265">
        <v>2034</v>
      </c>
      <c r="F265">
        <v>555.9</v>
      </c>
      <c r="G265">
        <v>46.2</v>
      </c>
      <c r="H265">
        <v>333.5</v>
      </c>
      <c r="I265">
        <v>5.8</v>
      </c>
      <c r="J265">
        <v>13.7</v>
      </c>
      <c r="K265">
        <v>845.68</v>
      </c>
      <c r="L265">
        <v>24</v>
      </c>
      <c r="M265" t="s">
        <v>34</v>
      </c>
      <c r="N265" t="s">
        <v>26</v>
      </c>
      <c r="O265" t="s">
        <v>26</v>
      </c>
      <c r="P265" t="s">
        <v>52</v>
      </c>
      <c r="Q265" t="s">
        <v>36</v>
      </c>
      <c r="R265">
        <v>-1.2</v>
      </c>
      <c r="S265">
        <v>-444.4</v>
      </c>
      <c r="T265">
        <v>33.4</v>
      </c>
      <c r="U265">
        <v>796</v>
      </c>
      <c r="V265">
        <v>7</v>
      </c>
    </row>
    <row r="266" spans="1:22" x14ac:dyDescent="0.35">
      <c r="A266" t="s">
        <v>573</v>
      </c>
      <c r="B266" t="s">
        <v>574</v>
      </c>
      <c r="C266" t="s">
        <v>39</v>
      </c>
      <c r="D266" t="s">
        <v>33</v>
      </c>
      <c r="E266">
        <v>2027</v>
      </c>
      <c r="F266">
        <v>560</v>
      </c>
      <c r="G266">
        <v>53.6</v>
      </c>
      <c r="H266">
        <v>160.6</v>
      </c>
      <c r="I266">
        <v>10.9</v>
      </c>
      <c r="J266">
        <v>6.1</v>
      </c>
      <c r="K266">
        <v>294.3</v>
      </c>
      <c r="L266">
        <v>39</v>
      </c>
      <c r="M266" t="s">
        <v>27</v>
      </c>
      <c r="N266" t="s">
        <v>26</v>
      </c>
      <c r="O266" t="s">
        <v>34</v>
      </c>
      <c r="P266" t="s">
        <v>52</v>
      </c>
      <c r="Q266" t="s">
        <v>47</v>
      </c>
      <c r="R266">
        <v>2.5</v>
      </c>
      <c r="S266">
        <v>-35.4</v>
      </c>
      <c r="T266">
        <v>33.6</v>
      </c>
      <c r="U266">
        <v>830</v>
      </c>
      <c r="V266">
        <v>6</v>
      </c>
    </row>
    <row r="267" spans="1:22" x14ac:dyDescent="0.35">
      <c r="A267" t="s">
        <v>575</v>
      </c>
      <c r="B267" t="s">
        <v>576</v>
      </c>
      <c r="C267" t="s">
        <v>120</v>
      </c>
      <c r="D267" t="s">
        <v>25</v>
      </c>
      <c r="E267">
        <v>2027</v>
      </c>
      <c r="F267">
        <v>607.1</v>
      </c>
      <c r="G267">
        <v>58.7</v>
      </c>
      <c r="H267">
        <v>2012.4</v>
      </c>
      <c r="I267">
        <v>206.9</v>
      </c>
      <c r="J267">
        <v>73.5</v>
      </c>
      <c r="K267">
        <v>1004.02</v>
      </c>
      <c r="L267">
        <v>22</v>
      </c>
      <c r="M267" t="s">
        <v>34</v>
      </c>
      <c r="N267" t="s">
        <v>27</v>
      </c>
      <c r="O267" t="s">
        <v>26</v>
      </c>
      <c r="P267" t="s">
        <v>52</v>
      </c>
      <c r="Q267" t="s">
        <v>47</v>
      </c>
      <c r="R267">
        <v>5.7</v>
      </c>
      <c r="S267">
        <v>-228.2</v>
      </c>
      <c r="T267">
        <v>15.1</v>
      </c>
      <c r="U267">
        <v>236</v>
      </c>
      <c r="V267">
        <v>2</v>
      </c>
    </row>
    <row r="268" spans="1:22" x14ac:dyDescent="0.35">
      <c r="A268" t="s">
        <v>577</v>
      </c>
      <c r="B268" t="s">
        <v>578</v>
      </c>
      <c r="C268" t="s">
        <v>120</v>
      </c>
      <c r="D268" t="s">
        <v>40</v>
      </c>
      <c r="E268">
        <v>2033</v>
      </c>
      <c r="F268">
        <v>592.4</v>
      </c>
      <c r="G268">
        <v>44.2</v>
      </c>
      <c r="H268">
        <v>385.6</v>
      </c>
      <c r="I268">
        <v>7.7</v>
      </c>
      <c r="J268">
        <v>17.7</v>
      </c>
      <c r="K268">
        <v>299.82</v>
      </c>
      <c r="L268">
        <v>17</v>
      </c>
      <c r="M268" t="s">
        <v>34</v>
      </c>
      <c r="N268" t="s">
        <v>27</v>
      </c>
      <c r="O268" t="s">
        <v>34</v>
      </c>
      <c r="P268" t="s">
        <v>28</v>
      </c>
      <c r="Q268" t="s">
        <v>65</v>
      </c>
      <c r="R268">
        <v>-3.2</v>
      </c>
      <c r="S268">
        <v>-488.2</v>
      </c>
      <c r="T268">
        <v>59</v>
      </c>
      <c r="U268">
        <v>631</v>
      </c>
      <c r="V268">
        <v>8</v>
      </c>
    </row>
    <row r="269" spans="1:22" x14ac:dyDescent="0.35">
      <c r="A269" t="s">
        <v>579</v>
      </c>
      <c r="B269" t="s">
        <v>580</v>
      </c>
      <c r="C269" t="s">
        <v>62</v>
      </c>
      <c r="D269" t="s">
        <v>46</v>
      </c>
      <c r="E269">
        <v>2029</v>
      </c>
      <c r="F269">
        <v>115.1</v>
      </c>
      <c r="G269">
        <v>18.2</v>
      </c>
      <c r="H269">
        <v>491.7</v>
      </c>
      <c r="I269">
        <v>41</v>
      </c>
      <c r="J269">
        <v>11.8</v>
      </c>
      <c r="K269">
        <v>69.61</v>
      </c>
      <c r="L269">
        <v>25</v>
      </c>
      <c r="M269" t="s">
        <v>27</v>
      </c>
      <c r="N269" t="s">
        <v>26</v>
      </c>
      <c r="O269" t="s">
        <v>26</v>
      </c>
      <c r="P269" t="s">
        <v>52</v>
      </c>
      <c r="Q269" t="s">
        <v>36</v>
      </c>
      <c r="R269">
        <v>5.3</v>
      </c>
      <c r="S269">
        <v>14.1</v>
      </c>
      <c r="T269">
        <v>16.899999999999999</v>
      </c>
      <c r="U269">
        <v>44</v>
      </c>
      <c r="V269">
        <v>8</v>
      </c>
    </row>
    <row r="270" spans="1:22" x14ac:dyDescent="0.35">
      <c r="A270" t="s">
        <v>581</v>
      </c>
      <c r="B270" t="s">
        <v>582</v>
      </c>
      <c r="C270" t="s">
        <v>120</v>
      </c>
      <c r="D270" t="s">
        <v>46</v>
      </c>
      <c r="E270">
        <v>2029</v>
      </c>
      <c r="F270">
        <v>470</v>
      </c>
      <c r="G270">
        <v>54.6</v>
      </c>
      <c r="H270">
        <v>338.4</v>
      </c>
      <c r="I270">
        <v>29.5</v>
      </c>
      <c r="J270">
        <v>23.1</v>
      </c>
      <c r="K270">
        <v>1417.77</v>
      </c>
      <c r="L270">
        <v>22</v>
      </c>
      <c r="M270" t="s">
        <v>27</v>
      </c>
      <c r="N270" t="s">
        <v>26</v>
      </c>
      <c r="O270" t="s">
        <v>26</v>
      </c>
      <c r="P270" t="s">
        <v>28</v>
      </c>
      <c r="Q270" t="s">
        <v>65</v>
      </c>
      <c r="R270">
        <v>2.7</v>
      </c>
      <c r="S270">
        <v>-256.10000000000002</v>
      </c>
      <c r="T270">
        <v>53.1</v>
      </c>
      <c r="U270">
        <v>390</v>
      </c>
      <c r="V270">
        <v>9</v>
      </c>
    </row>
    <row r="271" spans="1:22" x14ac:dyDescent="0.35">
      <c r="A271" t="s">
        <v>583</v>
      </c>
      <c r="B271" t="s">
        <v>584</v>
      </c>
      <c r="C271" t="s">
        <v>24</v>
      </c>
      <c r="D271" t="s">
        <v>78</v>
      </c>
      <c r="E271">
        <v>2031</v>
      </c>
      <c r="F271">
        <v>271.89999999999998</v>
      </c>
      <c r="G271">
        <v>48</v>
      </c>
      <c r="H271">
        <v>2540.6</v>
      </c>
      <c r="I271">
        <v>269.89999999999998</v>
      </c>
      <c r="J271">
        <v>68.900000000000006</v>
      </c>
      <c r="K271">
        <v>586.77</v>
      </c>
      <c r="L271">
        <v>29</v>
      </c>
      <c r="M271" t="s">
        <v>26</v>
      </c>
      <c r="N271" t="s">
        <v>26</v>
      </c>
      <c r="O271" t="s">
        <v>26</v>
      </c>
      <c r="P271" t="s">
        <v>52</v>
      </c>
      <c r="Q271" t="s">
        <v>65</v>
      </c>
      <c r="R271">
        <v>8.1</v>
      </c>
      <c r="S271">
        <v>1631.1</v>
      </c>
      <c r="T271">
        <v>12.6</v>
      </c>
      <c r="U271">
        <v>326</v>
      </c>
      <c r="V271">
        <v>6</v>
      </c>
    </row>
    <row r="272" spans="1:22" x14ac:dyDescent="0.35">
      <c r="A272" t="s">
        <v>585</v>
      </c>
      <c r="B272" t="s">
        <v>586</v>
      </c>
      <c r="C272" t="s">
        <v>39</v>
      </c>
      <c r="D272" t="s">
        <v>40</v>
      </c>
      <c r="E272">
        <v>2033</v>
      </c>
      <c r="F272">
        <v>802.8</v>
      </c>
      <c r="G272">
        <v>37.9</v>
      </c>
      <c r="H272">
        <v>708.2</v>
      </c>
      <c r="I272">
        <v>50.3</v>
      </c>
      <c r="J272">
        <v>21.2</v>
      </c>
      <c r="K272">
        <v>228.88</v>
      </c>
      <c r="L272">
        <v>28</v>
      </c>
      <c r="M272" t="s">
        <v>34</v>
      </c>
      <c r="N272" t="s">
        <v>27</v>
      </c>
      <c r="O272" t="s">
        <v>26</v>
      </c>
      <c r="P272" t="s">
        <v>52</v>
      </c>
      <c r="Q272" t="s">
        <v>47</v>
      </c>
      <c r="R272">
        <v>3.7</v>
      </c>
      <c r="S272">
        <v>-77.8</v>
      </c>
      <c r="T272">
        <v>24.3</v>
      </c>
      <c r="U272">
        <v>442</v>
      </c>
      <c r="V272">
        <v>3</v>
      </c>
    </row>
    <row r="273" spans="1:22" x14ac:dyDescent="0.35">
      <c r="A273" t="s">
        <v>587</v>
      </c>
      <c r="B273" t="s">
        <v>588</v>
      </c>
      <c r="C273" t="s">
        <v>39</v>
      </c>
      <c r="D273" t="s">
        <v>33</v>
      </c>
      <c r="E273">
        <v>2035</v>
      </c>
      <c r="F273">
        <v>426</v>
      </c>
      <c r="G273">
        <v>69.8</v>
      </c>
      <c r="H273">
        <v>975.2</v>
      </c>
      <c r="I273">
        <v>9.1</v>
      </c>
      <c r="J273">
        <v>46.6</v>
      </c>
      <c r="K273">
        <v>328.5</v>
      </c>
      <c r="L273">
        <v>21</v>
      </c>
      <c r="M273" t="s">
        <v>27</v>
      </c>
      <c r="N273" t="s">
        <v>27</v>
      </c>
      <c r="O273" t="s">
        <v>27</v>
      </c>
      <c r="P273" t="s">
        <v>52</v>
      </c>
      <c r="Q273" t="s">
        <v>29</v>
      </c>
      <c r="R273">
        <v>-4.4000000000000004</v>
      </c>
      <c r="S273">
        <v>-1532.7</v>
      </c>
      <c r="T273">
        <v>33.200000000000003</v>
      </c>
      <c r="U273">
        <v>678</v>
      </c>
      <c r="V273">
        <v>9</v>
      </c>
    </row>
    <row r="274" spans="1:22" x14ac:dyDescent="0.35">
      <c r="A274" t="s">
        <v>589</v>
      </c>
      <c r="B274" t="s">
        <v>590</v>
      </c>
      <c r="C274" t="s">
        <v>43</v>
      </c>
      <c r="D274" t="s">
        <v>33</v>
      </c>
      <c r="E274">
        <v>2032</v>
      </c>
      <c r="F274">
        <v>155.4</v>
      </c>
      <c r="G274">
        <v>22.8</v>
      </c>
      <c r="H274">
        <v>484</v>
      </c>
      <c r="I274">
        <v>95.3</v>
      </c>
      <c r="J274">
        <v>26.7</v>
      </c>
      <c r="K274">
        <v>9.3000000000000007</v>
      </c>
      <c r="L274">
        <v>15</v>
      </c>
      <c r="M274" t="s">
        <v>27</v>
      </c>
      <c r="N274" t="s">
        <v>26</v>
      </c>
      <c r="O274" t="s">
        <v>27</v>
      </c>
      <c r="P274" t="s">
        <v>35</v>
      </c>
      <c r="Q274" t="s">
        <v>29</v>
      </c>
      <c r="R274">
        <v>14.7</v>
      </c>
      <c r="S274">
        <v>314.7</v>
      </c>
      <c r="T274">
        <v>7.1</v>
      </c>
      <c r="U274">
        <v>88</v>
      </c>
      <c r="V274">
        <v>9</v>
      </c>
    </row>
    <row r="275" spans="1:22" x14ac:dyDescent="0.35">
      <c r="A275" t="s">
        <v>591</v>
      </c>
      <c r="B275" t="s">
        <v>592</v>
      </c>
      <c r="C275" t="s">
        <v>97</v>
      </c>
      <c r="D275" t="s">
        <v>33</v>
      </c>
      <c r="E275">
        <v>2035</v>
      </c>
      <c r="F275">
        <v>103.9</v>
      </c>
      <c r="G275">
        <v>36</v>
      </c>
      <c r="H275">
        <v>159</v>
      </c>
      <c r="I275">
        <v>6.3</v>
      </c>
      <c r="J275">
        <v>3.1</v>
      </c>
      <c r="K275">
        <v>103.82</v>
      </c>
      <c r="L275">
        <v>15</v>
      </c>
      <c r="M275" t="s">
        <v>34</v>
      </c>
      <c r="N275" t="s">
        <v>26</v>
      </c>
      <c r="O275" t="s">
        <v>26</v>
      </c>
      <c r="P275" t="s">
        <v>28</v>
      </c>
      <c r="Q275" t="s">
        <v>36</v>
      </c>
      <c r="R275">
        <v>2.2000000000000002</v>
      </c>
      <c r="S275">
        <v>-130.19999999999999</v>
      </c>
      <c r="T275">
        <v>49.3</v>
      </c>
      <c r="U275">
        <v>131</v>
      </c>
      <c r="V275">
        <v>8</v>
      </c>
    </row>
    <row r="276" spans="1:22" x14ac:dyDescent="0.35">
      <c r="A276" t="s">
        <v>593</v>
      </c>
      <c r="B276" t="s">
        <v>594</v>
      </c>
      <c r="C276" t="s">
        <v>32</v>
      </c>
      <c r="D276" t="s">
        <v>46</v>
      </c>
      <c r="E276">
        <v>2033</v>
      </c>
      <c r="F276">
        <v>4.9000000000000004</v>
      </c>
      <c r="G276">
        <v>83.2</v>
      </c>
      <c r="H276">
        <v>1291.2</v>
      </c>
      <c r="I276">
        <v>131.69999999999999</v>
      </c>
      <c r="J276">
        <v>61</v>
      </c>
      <c r="K276">
        <v>21.56</v>
      </c>
      <c r="L276">
        <v>22</v>
      </c>
      <c r="M276" t="s">
        <v>27</v>
      </c>
      <c r="N276" t="s">
        <v>27</v>
      </c>
      <c r="O276" t="s">
        <v>26</v>
      </c>
      <c r="P276" t="s">
        <v>52</v>
      </c>
      <c r="Q276" t="s">
        <v>47</v>
      </c>
      <c r="R276">
        <v>5.4</v>
      </c>
      <c r="S276">
        <v>-372.4</v>
      </c>
      <c r="T276">
        <v>18.3</v>
      </c>
      <c r="U276">
        <v>10</v>
      </c>
      <c r="V276">
        <v>10</v>
      </c>
    </row>
    <row r="277" spans="1:22" x14ac:dyDescent="0.35">
      <c r="A277" t="s">
        <v>595</v>
      </c>
      <c r="B277" t="s">
        <v>596</v>
      </c>
      <c r="C277" t="s">
        <v>32</v>
      </c>
      <c r="D277" t="s">
        <v>33</v>
      </c>
      <c r="E277">
        <v>2027</v>
      </c>
      <c r="F277">
        <v>4.2</v>
      </c>
      <c r="G277">
        <v>72.2</v>
      </c>
      <c r="H277">
        <v>2462.6999999999998</v>
      </c>
      <c r="I277">
        <v>244.3</v>
      </c>
      <c r="J277">
        <v>88.2</v>
      </c>
      <c r="K277">
        <v>16.96</v>
      </c>
      <c r="L277">
        <v>22</v>
      </c>
      <c r="M277" t="s">
        <v>27</v>
      </c>
      <c r="N277" t="s">
        <v>27</v>
      </c>
      <c r="O277" t="s">
        <v>26</v>
      </c>
      <c r="P277" t="s">
        <v>52</v>
      </c>
      <c r="Q277" t="s">
        <v>36</v>
      </c>
      <c r="R277">
        <v>7.5</v>
      </c>
      <c r="S277">
        <v>-159.19999999999999</v>
      </c>
      <c r="T277">
        <v>15.8</v>
      </c>
      <c r="U277">
        <v>10</v>
      </c>
      <c r="V277">
        <v>6</v>
      </c>
    </row>
    <row r="278" spans="1:22" x14ac:dyDescent="0.35">
      <c r="A278" t="s">
        <v>597</v>
      </c>
      <c r="B278" t="s">
        <v>598</v>
      </c>
      <c r="C278" t="s">
        <v>24</v>
      </c>
      <c r="D278" t="s">
        <v>40</v>
      </c>
      <c r="E278">
        <v>2034</v>
      </c>
      <c r="F278">
        <v>1397.2</v>
      </c>
      <c r="G278">
        <v>53.5</v>
      </c>
      <c r="H278">
        <v>1417.4</v>
      </c>
      <c r="I278">
        <v>76.900000000000006</v>
      </c>
      <c r="J278">
        <v>58</v>
      </c>
      <c r="K278">
        <v>1706.36</v>
      </c>
      <c r="L278">
        <v>25</v>
      </c>
      <c r="M278" t="s">
        <v>26</v>
      </c>
      <c r="N278" t="s">
        <v>27</v>
      </c>
      <c r="O278" t="s">
        <v>27</v>
      </c>
      <c r="P278" t="s">
        <v>28</v>
      </c>
      <c r="Q278" t="s">
        <v>29</v>
      </c>
      <c r="R278">
        <v>1.5</v>
      </c>
      <c r="S278">
        <v>-1094.4000000000001</v>
      </c>
      <c r="T278">
        <v>75</v>
      </c>
      <c r="U278">
        <v>826</v>
      </c>
      <c r="V278">
        <v>8</v>
      </c>
    </row>
    <row r="279" spans="1:22" x14ac:dyDescent="0.35">
      <c r="A279" t="s">
        <v>599</v>
      </c>
      <c r="B279" t="s">
        <v>600</v>
      </c>
      <c r="C279" t="s">
        <v>32</v>
      </c>
      <c r="D279" t="s">
        <v>40</v>
      </c>
      <c r="E279">
        <v>2027</v>
      </c>
      <c r="F279">
        <v>4</v>
      </c>
      <c r="G279">
        <v>67.900000000000006</v>
      </c>
      <c r="H279">
        <v>1531.1</v>
      </c>
      <c r="I279">
        <v>106.2</v>
      </c>
      <c r="J279">
        <v>85.7</v>
      </c>
      <c r="K279">
        <v>10.15</v>
      </c>
      <c r="L279">
        <v>27</v>
      </c>
      <c r="M279" t="s">
        <v>27</v>
      </c>
      <c r="N279" t="s">
        <v>27</v>
      </c>
      <c r="O279" t="s">
        <v>26</v>
      </c>
      <c r="P279" t="s">
        <v>28</v>
      </c>
      <c r="Q279" t="s">
        <v>29</v>
      </c>
      <c r="R279">
        <v>2</v>
      </c>
      <c r="S279">
        <v>-1122.0999999999999</v>
      </c>
      <c r="T279">
        <v>74.599999999999994</v>
      </c>
      <c r="U279">
        <v>10</v>
      </c>
      <c r="V279">
        <v>3</v>
      </c>
    </row>
    <row r="280" spans="1:22" x14ac:dyDescent="0.35">
      <c r="A280" t="s">
        <v>601</v>
      </c>
      <c r="B280" t="s">
        <v>602</v>
      </c>
      <c r="C280" t="s">
        <v>39</v>
      </c>
      <c r="D280" t="s">
        <v>57</v>
      </c>
      <c r="E280">
        <v>2031</v>
      </c>
      <c r="F280">
        <v>558</v>
      </c>
      <c r="G280">
        <v>56.2</v>
      </c>
      <c r="H280">
        <v>1099.2</v>
      </c>
      <c r="I280">
        <v>89.4</v>
      </c>
      <c r="J280">
        <v>51.4</v>
      </c>
      <c r="K280">
        <v>81.760000000000005</v>
      </c>
      <c r="L280">
        <v>31</v>
      </c>
      <c r="M280" t="s">
        <v>26</v>
      </c>
      <c r="N280" t="s">
        <v>26</v>
      </c>
      <c r="O280" t="s">
        <v>34</v>
      </c>
      <c r="P280" t="s">
        <v>28</v>
      </c>
      <c r="Q280" t="s">
        <v>47</v>
      </c>
      <c r="R280">
        <v>2.5</v>
      </c>
      <c r="S280">
        <v>-325.60000000000002</v>
      </c>
      <c r="T280">
        <v>28.9</v>
      </c>
      <c r="U280">
        <v>536</v>
      </c>
      <c r="V280">
        <v>8</v>
      </c>
    </row>
    <row r="281" spans="1:22" x14ac:dyDescent="0.35">
      <c r="A281" t="s">
        <v>603</v>
      </c>
      <c r="B281" t="s">
        <v>604</v>
      </c>
      <c r="C281" t="s">
        <v>62</v>
      </c>
      <c r="D281" t="s">
        <v>25</v>
      </c>
      <c r="E281">
        <v>2032</v>
      </c>
      <c r="F281">
        <v>441.1</v>
      </c>
      <c r="G281">
        <v>18.7</v>
      </c>
      <c r="H281">
        <v>549</v>
      </c>
      <c r="I281">
        <v>38.200000000000003</v>
      </c>
      <c r="J281">
        <v>11</v>
      </c>
      <c r="K281">
        <v>159.97999999999999</v>
      </c>
      <c r="L281">
        <v>25</v>
      </c>
      <c r="M281" t="s">
        <v>27</v>
      </c>
      <c r="N281" t="s">
        <v>27</v>
      </c>
      <c r="O281" t="s">
        <v>27</v>
      </c>
      <c r="P281" t="s">
        <v>28</v>
      </c>
      <c r="Q281" t="s">
        <v>47</v>
      </c>
      <c r="R281">
        <v>4.4000000000000004</v>
      </c>
      <c r="S281">
        <v>-80.2</v>
      </c>
      <c r="T281">
        <v>20.2</v>
      </c>
      <c r="U281">
        <v>267</v>
      </c>
      <c r="V281">
        <v>9</v>
      </c>
    </row>
    <row r="282" spans="1:22" x14ac:dyDescent="0.35">
      <c r="A282" t="s">
        <v>605</v>
      </c>
      <c r="B282" t="s">
        <v>606</v>
      </c>
      <c r="C282" t="s">
        <v>24</v>
      </c>
      <c r="D282" t="s">
        <v>78</v>
      </c>
      <c r="E282">
        <v>2032</v>
      </c>
      <c r="F282">
        <v>1354.5</v>
      </c>
      <c r="G282">
        <v>46.5</v>
      </c>
      <c r="H282">
        <v>1222.5999999999999</v>
      </c>
      <c r="I282">
        <v>136.5</v>
      </c>
      <c r="J282">
        <v>44.9</v>
      </c>
      <c r="K282">
        <v>2433.48</v>
      </c>
      <c r="L282">
        <v>29</v>
      </c>
      <c r="M282" t="s">
        <v>27</v>
      </c>
      <c r="N282" t="s">
        <v>27</v>
      </c>
      <c r="O282" t="s">
        <v>26</v>
      </c>
      <c r="P282" t="s">
        <v>28</v>
      </c>
      <c r="Q282" t="s">
        <v>65</v>
      </c>
      <c r="R282">
        <v>7</v>
      </c>
      <c r="S282">
        <v>333.1</v>
      </c>
      <c r="T282">
        <v>13.3</v>
      </c>
      <c r="U282">
        <v>1125</v>
      </c>
      <c r="V282">
        <v>6</v>
      </c>
    </row>
    <row r="283" spans="1:22" x14ac:dyDescent="0.35">
      <c r="A283" t="s">
        <v>607</v>
      </c>
      <c r="B283" t="s">
        <v>608</v>
      </c>
      <c r="C283" t="s">
        <v>62</v>
      </c>
      <c r="D283" t="s">
        <v>25</v>
      </c>
      <c r="E283">
        <v>2033</v>
      </c>
      <c r="F283">
        <v>342.8</v>
      </c>
      <c r="G283">
        <v>24</v>
      </c>
      <c r="H283">
        <v>538.70000000000005</v>
      </c>
      <c r="I283">
        <v>93.4</v>
      </c>
      <c r="J283">
        <v>8.6</v>
      </c>
      <c r="K283">
        <v>319.13</v>
      </c>
      <c r="L283">
        <v>26</v>
      </c>
      <c r="M283" t="s">
        <v>27</v>
      </c>
      <c r="N283" t="s">
        <v>27</v>
      </c>
      <c r="O283" t="s">
        <v>27</v>
      </c>
      <c r="P283" t="s">
        <v>28</v>
      </c>
      <c r="Q283" t="s">
        <v>65</v>
      </c>
      <c r="R283">
        <v>14.8</v>
      </c>
      <c r="S283">
        <v>1115.3</v>
      </c>
      <c r="T283">
        <v>6.4</v>
      </c>
      <c r="U283">
        <v>286</v>
      </c>
      <c r="V283">
        <v>2</v>
      </c>
    </row>
    <row r="284" spans="1:22" x14ac:dyDescent="0.35">
      <c r="A284" t="s">
        <v>609</v>
      </c>
      <c r="B284" t="s">
        <v>610</v>
      </c>
      <c r="C284" t="s">
        <v>97</v>
      </c>
      <c r="D284" t="s">
        <v>33</v>
      </c>
      <c r="E284">
        <v>2027</v>
      </c>
      <c r="F284">
        <v>63.5</v>
      </c>
      <c r="G284">
        <v>25.1</v>
      </c>
      <c r="H284">
        <v>274.89999999999998</v>
      </c>
      <c r="I284">
        <v>14.6</v>
      </c>
      <c r="J284">
        <v>10</v>
      </c>
      <c r="K284">
        <v>34.44</v>
      </c>
      <c r="L284">
        <v>19</v>
      </c>
      <c r="M284" t="s">
        <v>26</v>
      </c>
      <c r="N284" t="s">
        <v>27</v>
      </c>
      <c r="O284" t="s">
        <v>27</v>
      </c>
      <c r="P284" t="s">
        <v>28</v>
      </c>
      <c r="Q284" t="s">
        <v>29</v>
      </c>
      <c r="R284">
        <v>0.9</v>
      </c>
      <c r="S284">
        <v>-218.7</v>
      </c>
      <c r="T284">
        <v>59.5</v>
      </c>
      <c r="U284">
        <v>101</v>
      </c>
      <c r="V284">
        <v>10</v>
      </c>
    </row>
    <row r="285" spans="1:22" x14ac:dyDescent="0.35">
      <c r="A285" t="s">
        <v>611</v>
      </c>
      <c r="B285" t="s">
        <v>612</v>
      </c>
      <c r="C285" t="s">
        <v>43</v>
      </c>
      <c r="D285" t="s">
        <v>57</v>
      </c>
      <c r="E285">
        <v>2033</v>
      </c>
      <c r="F285">
        <v>405.6</v>
      </c>
      <c r="G285">
        <v>18.399999999999999</v>
      </c>
      <c r="H285">
        <v>446</v>
      </c>
      <c r="I285">
        <v>70.8</v>
      </c>
      <c r="J285">
        <v>11.2</v>
      </c>
      <c r="K285">
        <v>113.33</v>
      </c>
      <c r="L285">
        <v>19</v>
      </c>
      <c r="M285" t="s">
        <v>27</v>
      </c>
      <c r="N285" t="s">
        <v>26</v>
      </c>
      <c r="O285" t="s">
        <v>26</v>
      </c>
      <c r="P285" t="s">
        <v>52</v>
      </c>
      <c r="Q285" t="s">
        <v>36</v>
      </c>
      <c r="R285">
        <v>14.3</v>
      </c>
      <c r="S285">
        <v>387.7</v>
      </c>
      <c r="T285">
        <v>7.5</v>
      </c>
      <c r="U285">
        <v>294</v>
      </c>
      <c r="V285">
        <v>3</v>
      </c>
    </row>
    <row r="286" spans="1:22" x14ac:dyDescent="0.35">
      <c r="A286" t="s">
        <v>613</v>
      </c>
      <c r="B286" t="s">
        <v>614</v>
      </c>
      <c r="C286" t="s">
        <v>39</v>
      </c>
      <c r="D286" t="s">
        <v>40</v>
      </c>
      <c r="E286">
        <v>2035</v>
      </c>
      <c r="F286">
        <v>716.1</v>
      </c>
      <c r="G286">
        <v>67.2</v>
      </c>
      <c r="H286">
        <v>1129.8</v>
      </c>
      <c r="I286">
        <v>102</v>
      </c>
      <c r="J286">
        <v>39.799999999999997</v>
      </c>
      <c r="K286">
        <v>261.69</v>
      </c>
      <c r="L286">
        <v>30</v>
      </c>
      <c r="M286" t="s">
        <v>27</v>
      </c>
      <c r="N286" t="s">
        <v>26</v>
      </c>
      <c r="O286" t="s">
        <v>26</v>
      </c>
      <c r="P286" t="s">
        <v>52</v>
      </c>
      <c r="Q286" t="s">
        <v>29</v>
      </c>
      <c r="R286">
        <v>4.7</v>
      </c>
      <c r="S286">
        <v>52.2</v>
      </c>
      <c r="T286">
        <v>18.2</v>
      </c>
      <c r="U286">
        <v>330</v>
      </c>
      <c r="V286">
        <v>2</v>
      </c>
    </row>
    <row r="287" spans="1:22" x14ac:dyDescent="0.35">
      <c r="A287" t="s">
        <v>615</v>
      </c>
      <c r="B287" t="s">
        <v>616</v>
      </c>
      <c r="C287" t="s">
        <v>24</v>
      </c>
      <c r="D287" t="s">
        <v>78</v>
      </c>
      <c r="E287">
        <v>2027</v>
      </c>
      <c r="F287">
        <v>1341</v>
      </c>
      <c r="G287">
        <v>49.3</v>
      </c>
      <c r="H287">
        <v>2266.3000000000002</v>
      </c>
      <c r="I287">
        <v>147.4</v>
      </c>
      <c r="J287">
        <v>85.2</v>
      </c>
      <c r="K287">
        <v>1437.46</v>
      </c>
      <c r="L287">
        <v>30</v>
      </c>
      <c r="M287" t="s">
        <v>26</v>
      </c>
      <c r="N287" t="s">
        <v>26</v>
      </c>
      <c r="O287" t="s">
        <v>27</v>
      </c>
      <c r="P287" t="s">
        <v>52</v>
      </c>
      <c r="Q287" t="s">
        <v>65</v>
      </c>
      <c r="R287">
        <v>2</v>
      </c>
      <c r="S287">
        <v>-892.8</v>
      </c>
      <c r="T287">
        <v>36.4</v>
      </c>
      <c r="U287">
        <v>1310</v>
      </c>
      <c r="V287">
        <v>2</v>
      </c>
    </row>
    <row r="288" spans="1:22" x14ac:dyDescent="0.35">
      <c r="A288" t="s">
        <v>617</v>
      </c>
      <c r="B288" t="s">
        <v>618</v>
      </c>
      <c r="C288" t="s">
        <v>24</v>
      </c>
      <c r="D288" t="s">
        <v>25</v>
      </c>
      <c r="E288">
        <v>2032</v>
      </c>
      <c r="F288">
        <v>1288</v>
      </c>
      <c r="G288">
        <v>50.7</v>
      </c>
      <c r="H288">
        <v>1014.9</v>
      </c>
      <c r="I288">
        <v>123.9</v>
      </c>
      <c r="J288">
        <v>27.3</v>
      </c>
      <c r="K288">
        <v>1907.43</v>
      </c>
      <c r="L288">
        <v>29</v>
      </c>
      <c r="M288" t="s">
        <v>26</v>
      </c>
      <c r="N288" t="s">
        <v>26</v>
      </c>
      <c r="O288" t="s">
        <v>34</v>
      </c>
      <c r="P288" t="s">
        <v>52</v>
      </c>
      <c r="Q288" t="s">
        <v>36</v>
      </c>
      <c r="R288">
        <v>9.9</v>
      </c>
      <c r="S288">
        <v>967.5</v>
      </c>
      <c r="T288">
        <v>10.5</v>
      </c>
      <c r="U288">
        <v>1713</v>
      </c>
      <c r="V288">
        <v>1</v>
      </c>
    </row>
    <row r="289" spans="1:22" x14ac:dyDescent="0.35">
      <c r="A289" t="s">
        <v>619</v>
      </c>
      <c r="B289" t="s">
        <v>620</v>
      </c>
      <c r="C289" t="s">
        <v>120</v>
      </c>
      <c r="D289" t="s">
        <v>33</v>
      </c>
      <c r="E289">
        <v>2029</v>
      </c>
      <c r="F289">
        <v>21.1</v>
      </c>
      <c r="G289">
        <v>70.8</v>
      </c>
      <c r="H289">
        <v>1737.1</v>
      </c>
      <c r="I289">
        <v>2</v>
      </c>
      <c r="J289">
        <v>70.7</v>
      </c>
      <c r="K289">
        <v>64.14</v>
      </c>
      <c r="L289">
        <v>17</v>
      </c>
      <c r="M289" t="s">
        <v>26</v>
      </c>
      <c r="N289" t="s">
        <v>27</v>
      </c>
      <c r="O289" t="s">
        <v>34</v>
      </c>
      <c r="P289" t="s">
        <v>52</v>
      </c>
      <c r="Q289" t="s">
        <v>36</v>
      </c>
      <c r="R289">
        <v>-5.9</v>
      </c>
      <c r="S289">
        <v>-2700.6</v>
      </c>
      <c r="T289">
        <v>57.9</v>
      </c>
      <c r="U289">
        <v>15</v>
      </c>
      <c r="V289">
        <v>2</v>
      </c>
    </row>
    <row r="290" spans="1:22" x14ac:dyDescent="0.35">
      <c r="A290" t="s">
        <v>621</v>
      </c>
      <c r="B290" t="s">
        <v>622</v>
      </c>
      <c r="C290" t="s">
        <v>24</v>
      </c>
      <c r="D290" t="s">
        <v>46</v>
      </c>
      <c r="E290">
        <v>2028</v>
      </c>
      <c r="F290">
        <v>869.7</v>
      </c>
      <c r="G290">
        <v>49.3</v>
      </c>
      <c r="H290">
        <v>1208.5999999999999</v>
      </c>
      <c r="I290">
        <v>109.7</v>
      </c>
      <c r="J290">
        <v>46.3</v>
      </c>
      <c r="K290">
        <v>2612.86</v>
      </c>
      <c r="L290">
        <v>29</v>
      </c>
      <c r="M290" t="s">
        <v>34</v>
      </c>
      <c r="N290" t="s">
        <v>26</v>
      </c>
      <c r="O290" t="s">
        <v>34</v>
      </c>
      <c r="P290" t="s">
        <v>28</v>
      </c>
      <c r="Q290" t="s">
        <v>29</v>
      </c>
      <c r="R290">
        <v>5.6</v>
      </c>
      <c r="S290">
        <v>-137.19999999999999</v>
      </c>
      <c r="T290">
        <v>19.100000000000001</v>
      </c>
      <c r="U290">
        <v>648</v>
      </c>
      <c r="V290">
        <v>7</v>
      </c>
    </row>
    <row r="291" spans="1:22" x14ac:dyDescent="0.35">
      <c r="A291" t="s">
        <v>623</v>
      </c>
      <c r="B291" t="s">
        <v>624</v>
      </c>
      <c r="C291" t="s">
        <v>97</v>
      </c>
      <c r="D291" t="s">
        <v>57</v>
      </c>
      <c r="E291">
        <v>2030</v>
      </c>
      <c r="F291">
        <v>103.4</v>
      </c>
      <c r="G291">
        <v>51.6</v>
      </c>
      <c r="H291">
        <v>171.5</v>
      </c>
      <c r="I291">
        <v>24.7</v>
      </c>
      <c r="J291">
        <v>3.8</v>
      </c>
      <c r="K291">
        <v>119.27</v>
      </c>
      <c r="L291">
        <v>18</v>
      </c>
      <c r="M291" t="s">
        <v>27</v>
      </c>
      <c r="N291" t="s">
        <v>34</v>
      </c>
      <c r="O291" t="s">
        <v>27</v>
      </c>
      <c r="P291" t="s">
        <v>35</v>
      </c>
      <c r="Q291" t="s">
        <v>47</v>
      </c>
      <c r="R291">
        <v>11.3</v>
      </c>
      <c r="S291">
        <v>99.8</v>
      </c>
      <c r="T291">
        <v>8.1999999999999993</v>
      </c>
      <c r="U291">
        <v>71</v>
      </c>
      <c r="V291">
        <v>9</v>
      </c>
    </row>
    <row r="292" spans="1:22" x14ac:dyDescent="0.35">
      <c r="A292" t="s">
        <v>625</v>
      </c>
      <c r="B292" t="s">
        <v>626</v>
      </c>
      <c r="C292" t="s">
        <v>24</v>
      </c>
      <c r="D292" t="s">
        <v>57</v>
      </c>
      <c r="E292">
        <v>2034</v>
      </c>
      <c r="F292">
        <v>789</v>
      </c>
      <c r="G292">
        <v>44.6</v>
      </c>
      <c r="H292">
        <v>1240.0999999999999</v>
      </c>
      <c r="I292">
        <v>139.9</v>
      </c>
      <c r="J292">
        <v>43.5</v>
      </c>
      <c r="K292">
        <v>1772.91</v>
      </c>
      <c r="L292">
        <v>25</v>
      </c>
      <c r="M292" t="s">
        <v>34</v>
      </c>
      <c r="N292" t="s">
        <v>34</v>
      </c>
      <c r="O292" t="s">
        <v>26</v>
      </c>
      <c r="P292" t="s">
        <v>52</v>
      </c>
      <c r="Q292" t="s">
        <v>29</v>
      </c>
      <c r="R292">
        <v>8.9</v>
      </c>
      <c r="S292">
        <v>520.1</v>
      </c>
      <c r="T292">
        <v>12.9</v>
      </c>
      <c r="U292">
        <v>1041</v>
      </c>
      <c r="V292">
        <v>1</v>
      </c>
    </row>
    <row r="293" spans="1:22" x14ac:dyDescent="0.35">
      <c r="A293" t="s">
        <v>627</v>
      </c>
      <c r="B293" t="s">
        <v>628</v>
      </c>
      <c r="C293" t="s">
        <v>32</v>
      </c>
      <c r="D293" t="s">
        <v>57</v>
      </c>
      <c r="E293">
        <v>2027</v>
      </c>
      <c r="F293">
        <v>7.3</v>
      </c>
      <c r="G293">
        <v>81.5</v>
      </c>
      <c r="H293">
        <v>1777.2</v>
      </c>
      <c r="I293">
        <v>243.2</v>
      </c>
      <c r="J293">
        <v>130.30000000000001</v>
      </c>
      <c r="K293">
        <v>33.85</v>
      </c>
      <c r="L293">
        <v>21</v>
      </c>
      <c r="M293" t="s">
        <v>26</v>
      </c>
      <c r="N293" t="s">
        <v>27</v>
      </c>
      <c r="O293" t="s">
        <v>26</v>
      </c>
      <c r="P293" t="s">
        <v>35</v>
      </c>
      <c r="Q293" t="s">
        <v>36</v>
      </c>
      <c r="R293">
        <v>5.5</v>
      </c>
      <c r="S293">
        <v>-129.69999999999999</v>
      </c>
      <c r="T293">
        <v>15.7</v>
      </c>
      <c r="U293">
        <v>10</v>
      </c>
      <c r="V293">
        <v>1</v>
      </c>
    </row>
    <row r="294" spans="1:22" x14ac:dyDescent="0.35">
      <c r="A294" t="s">
        <v>629</v>
      </c>
      <c r="B294" t="s">
        <v>630</v>
      </c>
      <c r="C294" t="s">
        <v>24</v>
      </c>
      <c r="D294" t="s">
        <v>25</v>
      </c>
      <c r="E294">
        <v>2035</v>
      </c>
      <c r="F294">
        <v>1212.9000000000001</v>
      </c>
      <c r="G294">
        <v>51</v>
      </c>
      <c r="H294">
        <v>1916.5</v>
      </c>
      <c r="I294">
        <v>182.6</v>
      </c>
      <c r="J294">
        <v>69.2</v>
      </c>
      <c r="K294">
        <v>3251.96</v>
      </c>
      <c r="L294">
        <v>25</v>
      </c>
      <c r="M294" t="s">
        <v>26</v>
      </c>
      <c r="N294" t="s">
        <v>27</v>
      </c>
      <c r="O294" t="s">
        <v>26</v>
      </c>
      <c r="P294" t="s">
        <v>28</v>
      </c>
      <c r="Q294" t="s">
        <v>65</v>
      </c>
      <c r="R294">
        <v>6</v>
      </c>
      <c r="S294">
        <v>-182.2</v>
      </c>
      <c r="T294">
        <v>16.899999999999999</v>
      </c>
      <c r="U294">
        <v>1912</v>
      </c>
      <c r="V294">
        <v>8</v>
      </c>
    </row>
    <row r="295" spans="1:22" x14ac:dyDescent="0.35">
      <c r="A295" t="s">
        <v>631</v>
      </c>
      <c r="B295" t="s">
        <v>632</v>
      </c>
      <c r="C295" t="s">
        <v>39</v>
      </c>
      <c r="D295" t="s">
        <v>57</v>
      </c>
      <c r="E295">
        <v>2030</v>
      </c>
      <c r="F295">
        <v>727.4</v>
      </c>
      <c r="G295">
        <v>39.200000000000003</v>
      </c>
      <c r="H295">
        <v>922.3</v>
      </c>
      <c r="I295">
        <v>100.7</v>
      </c>
      <c r="J295">
        <v>20.7</v>
      </c>
      <c r="K295">
        <v>271.93</v>
      </c>
      <c r="L295">
        <v>24</v>
      </c>
      <c r="M295" t="s">
        <v>27</v>
      </c>
      <c r="N295" t="s">
        <v>27</v>
      </c>
      <c r="O295" t="s">
        <v>27</v>
      </c>
      <c r="P295" t="s">
        <v>35</v>
      </c>
      <c r="Q295" t="s">
        <v>65</v>
      </c>
      <c r="R295">
        <v>8.8000000000000007</v>
      </c>
      <c r="S295">
        <v>534.79999999999995</v>
      </c>
      <c r="T295">
        <v>11.5</v>
      </c>
      <c r="U295">
        <v>575</v>
      </c>
      <c r="V295">
        <v>1</v>
      </c>
    </row>
    <row r="296" spans="1:22" x14ac:dyDescent="0.35">
      <c r="A296" t="s">
        <v>633</v>
      </c>
      <c r="B296" t="s">
        <v>634</v>
      </c>
      <c r="C296" t="s">
        <v>62</v>
      </c>
      <c r="D296" t="s">
        <v>78</v>
      </c>
      <c r="E296">
        <v>2032</v>
      </c>
      <c r="F296">
        <v>229.2</v>
      </c>
      <c r="G296">
        <v>15</v>
      </c>
      <c r="H296">
        <v>621.6</v>
      </c>
      <c r="I296">
        <v>81.5</v>
      </c>
      <c r="J296">
        <v>11.2</v>
      </c>
      <c r="K296">
        <v>102.12</v>
      </c>
      <c r="L296">
        <v>27</v>
      </c>
      <c r="M296" t="s">
        <v>26</v>
      </c>
      <c r="N296" t="s">
        <v>26</v>
      </c>
      <c r="O296" t="s">
        <v>26</v>
      </c>
      <c r="P296" t="s">
        <v>35</v>
      </c>
      <c r="Q296" t="s">
        <v>47</v>
      </c>
      <c r="R296">
        <v>12.4</v>
      </c>
      <c r="S296">
        <v>711.1</v>
      </c>
      <c r="T296">
        <v>8.8000000000000007</v>
      </c>
      <c r="U296">
        <v>144</v>
      </c>
      <c r="V296">
        <v>9</v>
      </c>
    </row>
    <row r="297" spans="1:22" x14ac:dyDescent="0.35">
      <c r="A297" t="s">
        <v>635</v>
      </c>
      <c r="B297" t="s">
        <v>636</v>
      </c>
      <c r="C297" t="s">
        <v>62</v>
      </c>
      <c r="D297" t="s">
        <v>46</v>
      </c>
      <c r="E297">
        <v>2029</v>
      </c>
      <c r="F297">
        <v>237</v>
      </c>
      <c r="G297">
        <v>16.899999999999999</v>
      </c>
      <c r="H297">
        <v>540.4</v>
      </c>
      <c r="I297">
        <v>46.9</v>
      </c>
      <c r="J297">
        <v>7.5</v>
      </c>
      <c r="K297">
        <v>142.54</v>
      </c>
      <c r="L297">
        <v>26</v>
      </c>
      <c r="M297" t="s">
        <v>26</v>
      </c>
      <c r="N297" t="s">
        <v>26</v>
      </c>
      <c r="O297" t="s">
        <v>34</v>
      </c>
      <c r="P297" t="s">
        <v>52</v>
      </c>
      <c r="Q297" t="s">
        <v>47</v>
      </c>
      <c r="R297">
        <v>7</v>
      </c>
      <c r="S297">
        <v>65.3</v>
      </c>
      <c r="T297">
        <v>13.7</v>
      </c>
      <c r="U297">
        <v>99</v>
      </c>
      <c r="V297">
        <v>10</v>
      </c>
    </row>
    <row r="298" spans="1:22" x14ac:dyDescent="0.35">
      <c r="A298" t="s">
        <v>637</v>
      </c>
      <c r="B298" t="s">
        <v>638</v>
      </c>
      <c r="C298" t="s">
        <v>39</v>
      </c>
      <c r="D298" t="s">
        <v>25</v>
      </c>
      <c r="E298">
        <v>2028</v>
      </c>
      <c r="F298">
        <v>137.9</v>
      </c>
      <c r="G298">
        <v>54.4</v>
      </c>
      <c r="H298">
        <v>497.8</v>
      </c>
      <c r="I298">
        <v>75.099999999999994</v>
      </c>
      <c r="J298">
        <v>13</v>
      </c>
      <c r="K298">
        <v>55.59</v>
      </c>
      <c r="L298">
        <v>37</v>
      </c>
      <c r="M298" t="s">
        <v>26</v>
      </c>
      <c r="N298" t="s">
        <v>27</v>
      </c>
      <c r="O298" t="s">
        <v>27</v>
      </c>
      <c r="P298" t="s">
        <v>35</v>
      </c>
      <c r="Q298" t="s">
        <v>65</v>
      </c>
      <c r="R298">
        <v>12.7</v>
      </c>
      <c r="S298">
        <v>968.7</v>
      </c>
      <c r="T298">
        <v>8</v>
      </c>
      <c r="U298">
        <v>144</v>
      </c>
      <c r="V298">
        <v>3</v>
      </c>
    </row>
    <row r="299" spans="1:22" x14ac:dyDescent="0.35">
      <c r="A299" t="s">
        <v>639</v>
      </c>
      <c r="B299" t="s">
        <v>640</v>
      </c>
      <c r="C299" t="s">
        <v>62</v>
      </c>
      <c r="D299" t="s">
        <v>40</v>
      </c>
      <c r="E299">
        <v>2032</v>
      </c>
      <c r="F299">
        <v>250</v>
      </c>
      <c r="G299">
        <v>24</v>
      </c>
      <c r="H299">
        <v>366.8</v>
      </c>
      <c r="I299">
        <v>15</v>
      </c>
      <c r="J299">
        <v>5.3</v>
      </c>
      <c r="K299">
        <v>149.79</v>
      </c>
      <c r="L299">
        <v>30</v>
      </c>
      <c r="M299" t="s">
        <v>27</v>
      </c>
      <c r="N299" t="s">
        <v>26</v>
      </c>
      <c r="O299" t="s">
        <v>26</v>
      </c>
      <c r="P299" t="s">
        <v>35</v>
      </c>
      <c r="Q299" t="s">
        <v>65</v>
      </c>
      <c r="R299">
        <v>1.8</v>
      </c>
      <c r="S299">
        <v>-190.2</v>
      </c>
      <c r="T299">
        <v>37.6</v>
      </c>
      <c r="U299">
        <v>245</v>
      </c>
      <c r="V299">
        <v>4</v>
      </c>
    </row>
    <row r="300" spans="1:22" x14ac:dyDescent="0.35">
      <c r="A300" t="s">
        <v>641</v>
      </c>
      <c r="B300" t="s">
        <v>642</v>
      </c>
      <c r="C300" t="s">
        <v>97</v>
      </c>
      <c r="D300" t="s">
        <v>25</v>
      </c>
      <c r="E300">
        <v>2033</v>
      </c>
      <c r="F300">
        <v>88.6</v>
      </c>
      <c r="G300">
        <v>54.2</v>
      </c>
      <c r="H300">
        <v>354.6</v>
      </c>
      <c r="I300">
        <v>33.5</v>
      </c>
      <c r="J300">
        <v>13.1</v>
      </c>
      <c r="K300">
        <v>86.32</v>
      </c>
      <c r="L300">
        <v>15</v>
      </c>
      <c r="M300" t="s">
        <v>26</v>
      </c>
      <c r="N300" t="s">
        <v>26</v>
      </c>
      <c r="O300" t="s">
        <v>27</v>
      </c>
      <c r="P300" t="s">
        <v>35</v>
      </c>
      <c r="Q300" t="s">
        <v>29</v>
      </c>
      <c r="R300">
        <v>5.0999999999999996</v>
      </c>
      <c r="S300">
        <v>-143</v>
      </c>
      <c r="T300">
        <v>17.399999999999999</v>
      </c>
      <c r="U300">
        <v>46</v>
      </c>
      <c r="V300">
        <v>2</v>
      </c>
    </row>
    <row r="301" spans="1:22" x14ac:dyDescent="0.35">
      <c r="A301" t="s">
        <v>643</v>
      </c>
      <c r="B301" t="s">
        <v>644</v>
      </c>
      <c r="C301" t="s">
        <v>62</v>
      </c>
      <c r="D301" t="s">
        <v>40</v>
      </c>
      <c r="E301">
        <v>2030</v>
      </c>
      <c r="F301">
        <v>416.5</v>
      </c>
      <c r="G301">
        <v>19</v>
      </c>
      <c r="H301">
        <v>495.9</v>
      </c>
      <c r="I301">
        <v>40.4</v>
      </c>
      <c r="J301">
        <v>13.5</v>
      </c>
      <c r="K301">
        <v>218.75</v>
      </c>
      <c r="L301">
        <v>25</v>
      </c>
      <c r="M301" t="s">
        <v>27</v>
      </c>
      <c r="N301" t="s">
        <v>26</v>
      </c>
      <c r="O301" t="s">
        <v>34</v>
      </c>
      <c r="P301" t="s">
        <v>52</v>
      </c>
      <c r="Q301" t="s">
        <v>47</v>
      </c>
      <c r="R301">
        <v>5.8</v>
      </c>
      <c r="S301">
        <v>-71.8</v>
      </c>
      <c r="T301">
        <v>18.399999999999999</v>
      </c>
      <c r="U301">
        <v>226</v>
      </c>
      <c r="V301">
        <v>10</v>
      </c>
    </row>
    <row r="302" spans="1:22" x14ac:dyDescent="0.35">
      <c r="A302" t="s">
        <v>645</v>
      </c>
      <c r="B302" t="s">
        <v>646</v>
      </c>
      <c r="C302" t="s">
        <v>24</v>
      </c>
      <c r="D302" t="s">
        <v>25</v>
      </c>
      <c r="E302">
        <v>2031</v>
      </c>
      <c r="F302">
        <v>653.29999999999995</v>
      </c>
      <c r="G302">
        <v>52.5</v>
      </c>
      <c r="H302">
        <v>2756.1</v>
      </c>
      <c r="I302">
        <v>389.6</v>
      </c>
      <c r="J302">
        <v>74.3</v>
      </c>
      <c r="K302">
        <v>976.8</v>
      </c>
      <c r="L302">
        <v>25</v>
      </c>
      <c r="M302" t="s">
        <v>26</v>
      </c>
      <c r="N302" t="s">
        <v>26</v>
      </c>
      <c r="O302" t="s">
        <v>26</v>
      </c>
      <c r="P302" t="s">
        <v>35</v>
      </c>
      <c r="Q302" t="s">
        <v>36</v>
      </c>
      <c r="R302">
        <v>11</v>
      </c>
      <c r="S302">
        <v>2038.5</v>
      </c>
      <c r="T302">
        <v>8.6999999999999993</v>
      </c>
      <c r="U302">
        <v>958</v>
      </c>
      <c r="V302">
        <v>5</v>
      </c>
    </row>
    <row r="303" spans="1:22" x14ac:dyDescent="0.35">
      <c r="A303" t="s">
        <v>647</v>
      </c>
      <c r="B303" t="s">
        <v>648</v>
      </c>
      <c r="C303" t="s">
        <v>43</v>
      </c>
      <c r="D303" t="s">
        <v>57</v>
      </c>
      <c r="E303">
        <v>2035</v>
      </c>
      <c r="F303">
        <v>112.8</v>
      </c>
      <c r="G303">
        <v>33.5</v>
      </c>
      <c r="H303">
        <v>521.6</v>
      </c>
      <c r="I303">
        <v>31.9</v>
      </c>
      <c r="J303">
        <v>12.6</v>
      </c>
      <c r="K303">
        <v>93.04</v>
      </c>
      <c r="L303">
        <v>14</v>
      </c>
      <c r="M303" t="s">
        <v>27</v>
      </c>
      <c r="N303" t="s">
        <v>27</v>
      </c>
      <c r="O303" t="s">
        <v>27</v>
      </c>
      <c r="P303" t="s">
        <v>52</v>
      </c>
      <c r="Q303" t="s">
        <v>36</v>
      </c>
      <c r="R303">
        <v>3.3</v>
      </c>
      <c r="S303">
        <v>-331.7</v>
      </c>
      <c r="T303">
        <v>27</v>
      </c>
      <c r="U303">
        <v>49</v>
      </c>
      <c r="V303">
        <v>3</v>
      </c>
    </row>
    <row r="304" spans="1:22" x14ac:dyDescent="0.35">
      <c r="A304" t="s">
        <v>649</v>
      </c>
      <c r="B304" t="s">
        <v>650</v>
      </c>
      <c r="C304" t="s">
        <v>120</v>
      </c>
      <c r="D304" t="s">
        <v>57</v>
      </c>
      <c r="E304">
        <v>2028</v>
      </c>
      <c r="F304">
        <v>379.1</v>
      </c>
      <c r="G304">
        <v>74.7</v>
      </c>
      <c r="H304">
        <v>1800</v>
      </c>
      <c r="I304">
        <v>231.4</v>
      </c>
      <c r="J304">
        <v>117.2</v>
      </c>
      <c r="K304">
        <v>1319.83</v>
      </c>
      <c r="L304">
        <v>22</v>
      </c>
      <c r="M304" t="s">
        <v>27</v>
      </c>
      <c r="N304" t="s">
        <v>34</v>
      </c>
      <c r="O304" t="s">
        <v>27</v>
      </c>
      <c r="P304" t="s">
        <v>35</v>
      </c>
      <c r="Q304" t="s">
        <v>65</v>
      </c>
      <c r="R304">
        <v>6.8</v>
      </c>
      <c r="S304">
        <v>-49.6</v>
      </c>
      <c r="T304">
        <v>15.8</v>
      </c>
      <c r="U304">
        <v>376</v>
      </c>
      <c r="V304">
        <v>7</v>
      </c>
    </row>
    <row r="305" spans="1:22" x14ac:dyDescent="0.35">
      <c r="A305" t="s">
        <v>651</v>
      </c>
      <c r="B305" t="s">
        <v>652</v>
      </c>
      <c r="C305" t="s">
        <v>39</v>
      </c>
      <c r="D305" t="s">
        <v>40</v>
      </c>
      <c r="E305">
        <v>2035</v>
      </c>
      <c r="F305">
        <v>500.8</v>
      </c>
      <c r="G305">
        <v>72.900000000000006</v>
      </c>
      <c r="H305">
        <v>1209.9000000000001</v>
      </c>
      <c r="I305">
        <v>86.7</v>
      </c>
      <c r="J305">
        <v>39</v>
      </c>
      <c r="K305">
        <v>394.37</v>
      </c>
      <c r="L305">
        <v>39</v>
      </c>
      <c r="M305" t="s">
        <v>27</v>
      </c>
      <c r="N305" t="s">
        <v>27</v>
      </c>
      <c r="O305" t="s">
        <v>27</v>
      </c>
      <c r="P305" t="s">
        <v>35</v>
      </c>
      <c r="Q305" t="s">
        <v>65</v>
      </c>
      <c r="R305">
        <v>3.1</v>
      </c>
      <c r="S305">
        <v>153.19999999999999</v>
      </c>
      <c r="T305">
        <v>25.4</v>
      </c>
      <c r="U305">
        <v>473</v>
      </c>
      <c r="V305">
        <v>2</v>
      </c>
    </row>
    <row r="306" spans="1:22" x14ac:dyDescent="0.35">
      <c r="A306" t="s">
        <v>653</v>
      </c>
      <c r="B306" t="s">
        <v>654</v>
      </c>
      <c r="C306" t="s">
        <v>120</v>
      </c>
      <c r="D306" t="s">
        <v>40</v>
      </c>
      <c r="E306">
        <v>2032</v>
      </c>
      <c r="F306">
        <v>630</v>
      </c>
      <c r="G306">
        <v>50</v>
      </c>
      <c r="H306">
        <v>1076.4000000000001</v>
      </c>
      <c r="I306">
        <v>41.8</v>
      </c>
      <c r="J306">
        <v>33.299999999999997</v>
      </c>
      <c r="K306">
        <v>879.62</v>
      </c>
      <c r="L306">
        <v>15</v>
      </c>
      <c r="M306" t="s">
        <v>26</v>
      </c>
      <c r="N306" t="s">
        <v>27</v>
      </c>
      <c r="O306" t="s">
        <v>26</v>
      </c>
      <c r="P306" t="s">
        <v>35</v>
      </c>
      <c r="Q306" t="s">
        <v>36</v>
      </c>
      <c r="R306">
        <v>1.4</v>
      </c>
      <c r="S306">
        <v>-980.2</v>
      </c>
      <c r="T306">
        <v>125.8</v>
      </c>
      <c r="U306">
        <v>694</v>
      </c>
      <c r="V306">
        <v>3</v>
      </c>
    </row>
    <row r="307" spans="1:22" x14ac:dyDescent="0.35">
      <c r="A307" t="s">
        <v>655</v>
      </c>
      <c r="B307" t="s">
        <v>656</v>
      </c>
      <c r="C307" t="s">
        <v>97</v>
      </c>
      <c r="D307" t="s">
        <v>78</v>
      </c>
      <c r="E307">
        <v>2033</v>
      </c>
      <c r="F307">
        <v>179.9</v>
      </c>
      <c r="G307">
        <v>25.4</v>
      </c>
      <c r="H307">
        <v>357.3</v>
      </c>
      <c r="I307">
        <v>35</v>
      </c>
      <c r="J307">
        <v>13.7</v>
      </c>
      <c r="K307">
        <v>47.34</v>
      </c>
      <c r="L307">
        <v>16</v>
      </c>
      <c r="M307" t="s">
        <v>26</v>
      </c>
      <c r="N307" t="s">
        <v>34</v>
      </c>
      <c r="O307" t="s">
        <v>27</v>
      </c>
      <c r="P307" t="s">
        <v>35</v>
      </c>
      <c r="Q307" t="s">
        <v>36</v>
      </c>
      <c r="R307">
        <v>5.4</v>
      </c>
      <c r="S307">
        <v>-92</v>
      </c>
      <c r="T307">
        <v>16.8</v>
      </c>
      <c r="U307">
        <v>119</v>
      </c>
      <c r="V307">
        <v>7</v>
      </c>
    </row>
    <row r="308" spans="1:22" x14ac:dyDescent="0.35">
      <c r="A308" t="s">
        <v>657</v>
      </c>
      <c r="B308" t="s">
        <v>658</v>
      </c>
      <c r="C308" t="s">
        <v>39</v>
      </c>
      <c r="D308" t="s">
        <v>57</v>
      </c>
      <c r="E308">
        <v>2029</v>
      </c>
      <c r="F308">
        <v>224.5</v>
      </c>
      <c r="G308">
        <v>48.9</v>
      </c>
      <c r="H308">
        <v>1393.1</v>
      </c>
      <c r="I308">
        <v>4</v>
      </c>
      <c r="J308">
        <v>63.3</v>
      </c>
      <c r="K308">
        <v>84.22</v>
      </c>
      <c r="L308">
        <v>21</v>
      </c>
      <c r="M308" t="s">
        <v>26</v>
      </c>
      <c r="N308" t="s">
        <v>34</v>
      </c>
      <c r="O308" t="s">
        <v>26</v>
      </c>
      <c r="P308" t="s">
        <v>52</v>
      </c>
      <c r="Q308" t="s">
        <v>65</v>
      </c>
      <c r="R308">
        <v>-3.3</v>
      </c>
      <c r="S308">
        <v>-2190.6</v>
      </c>
      <c r="T308">
        <v>34.6</v>
      </c>
      <c r="U308">
        <v>154</v>
      </c>
      <c r="V308">
        <v>3</v>
      </c>
    </row>
    <row r="309" spans="1:22" x14ac:dyDescent="0.35">
      <c r="A309" t="s">
        <v>659</v>
      </c>
      <c r="B309" t="s">
        <v>660</v>
      </c>
      <c r="C309" t="s">
        <v>43</v>
      </c>
      <c r="D309" t="s">
        <v>33</v>
      </c>
      <c r="E309">
        <v>2030</v>
      </c>
      <c r="F309">
        <v>459.2</v>
      </c>
      <c r="G309">
        <v>34.6</v>
      </c>
      <c r="H309">
        <v>347.2</v>
      </c>
      <c r="I309">
        <v>33.299999999999997</v>
      </c>
      <c r="J309">
        <v>12.1</v>
      </c>
      <c r="K309">
        <v>195.25</v>
      </c>
      <c r="L309">
        <v>16</v>
      </c>
      <c r="M309" t="s">
        <v>26</v>
      </c>
      <c r="N309" t="s">
        <v>26</v>
      </c>
      <c r="O309" t="s">
        <v>27</v>
      </c>
      <c r="P309" t="s">
        <v>28</v>
      </c>
      <c r="Q309" t="s">
        <v>65</v>
      </c>
      <c r="R309">
        <v>5.4</v>
      </c>
      <c r="S309">
        <v>-116</v>
      </c>
      <c r="T309">
        <v>16.399999999999999</v>
      </c>
      <c r="U309">
        <v>321</v>
      </c>
      <c r="V309">
        <v>2</v>
      </c>
    </row>
    <row r="310" spans="1:22" x14ac:dyDescent="0.35">
      <c r="A310" t="s">
        <v>661</v>
      </c>
      <c r="B310" t="s">
        <v>662</v>
      </c>
      <c r="C310" t="s">
        <v>24</v>
      </c>
      <c r="D310" t="s">
        <v>33</v>
      </c>
      <c r="E310">
        <v>2033</v>
      </c>
      <c r="F310">
        <v>278.39999999999998</v>
      </c>
      <c r="G310">
        <v>42.2</v>
      </c>
      <c r="H310">
        <v>2204</v>
      </c>
      <c r="I310">
        <v>222.6</v>
      </c>
      <c r="J310">
        <v>92.6</v>
      </c>
      <c r="K310">
        <v>395.88</v>
      </c>
      <c r="L310">
        <v>28</v>
      </c>
      <c r="M310" t="s">
        <v>26</v>
      </c>
      <c r="N310" t="s">
        <v>26</v>
      </c>
      <c r="O310" t="s">
        <v>26</v>
      </c>
      <c r="P310" t="s">
        <v>35</v>
      </c>
      <c r="Q310" t="s">
        <v>65</v>
      </c>
      <c r="R310">
        <v>6</v>
      </c>
      <c r="S310">
        <v>566.6</v>
      </c>
      <c r="T310">
        <v>16.899999999999999</v>
      </c>
      <c r="U310">
        <v>150</v>
      </c>
      <c r="V310">
        <v>1</v>
      </c>
    </row>
    <row r="311" spans="1:22" x14ac:dyDescent="0.35">
      <c r="A311" t="s">
        <v>663</v>
      </c>
      <c r="B311" t="s">
        <v>664</v>
      </c>
      <c r="C311" t="s">
        <v>24</v>
      </c>
      <c r="D311" t="s">
        <v>78</v>
      </c>
      <c r="E311">
        <v>2029</v>
      </c>
      <c r="F311">
        <v>431.6</v>
      </c>
      <c r="G311">
        <v>52.8</v>
      </c>
      <c r="H311">
        <v>2718.4</v>
      </c>
      <c r="I311">
        <v>185.5</v>
      </c>
      <c r="J311">
        <v>69.8</v>
      </c>
      <c r="K311">
        <v>668.12</v>
      </c>
      <c r="L311">
        <v>28</v>
      </c>
      <c r="M311" t="s">
        <v>26</v>
      </c>
      <c r="N311" t="s">
        <v>26</v>
      </c>
      <c r="O311" t="s">
        <v>27</v>
      </c>
      <c r="P311" t="s">
        <v>52</v>
      </c>
      <c r="Q311" t="s">
        <v>36</v>
      </c>
      <c r="R311">
        <v>4.5999999999999996</v>
      </c>
      <c r="S311">
        <v>-811.2</v>
      </c>
      <c r="T311">
        <v>23.5</v>
      </c>
      <c r="U311">
        <v>287</v>
      </c>
      <c r="V311">
        <v>6</v>
      </c>
    </row>
    <row r="312" spans="1:22" x14ac:dyDescent="0.35">
      <c r="A312" t="s">
        <v>665</v>
      </c>
      <c r="B312" t="s">
        <v>666</v>
      </c>
      <c r="C312" t="s">
        <v>97</v>
      </c>
      <c r="D312" t="s">
        <v>78</v>
      </c>
      <c r="E312">
        <v>2030</v>
      </c>
      <c r="F312">
        <v>78</v>
      </c>
      <c r="G312">
        <v>37.799999999999997</v>
      </c>
      <c r="H312">
        <v>44.1</v>
      </c>
      <c r="I312">
        <v>5.0999999999999996</v>
      </c>
      <c r="J312">
        <v>1</v>
      </c>
      <c r="K312">
        <v>47.2</v>
      </c>
      <c r="L312">
        <v>20</v>
      </c>
      <c r="M312" t="s">
        <v>26</v>
      </c>
      <c r="N312" t="s">
        <v>26</v>
      </c>
      <c r="O312" t="s">
        <v>27</v>
      </c>
      <c r="P312" t="s">
        <v>28</v>
      </c>
      <c r="Q312" t="s">
        <v>29</v>
      </c>
      <c r="R312">
        <v>8.6999999999999993</v>
      </c>
      <c r="S312">
        <v>9.9</v>
      </c>
      <c r="T312">
        <v>10.7</v>
      </c>
      <c r="U312">
        <v>43</v>
      </c>
      <c r="V312">
        <v>7</v>
      </c>
    </row>
    <row r="313" spans="1:22" x14ac:dyDescent="0.35">
      <c r="A313" t="s">
        <v>667</v>
      </c>
      <c r="B313" t="s">
        <v>668</v>
      </c>
      <c r="C313" t="s">
        <v>97</v>
      </c>
      <c r="D313" t="s">
        <v>33</v>
      </c>
      <c r="E313">
        <v>2032</v>
      </c>
      <c r="F313">
        <v>76.2</v>
      </c>
      <c r="G313">
        <v>39.299999999999997</v>
      </c>
      <c r="H313">
        <v>49.2</v>
      </c>
      <c r="I313">
        <v>2.6</v>
      </c>
      <c r="J313">
        <v>1.4</v>
      </c>
      <c r="K313">
        <v>91.02</v>
      </c>
      <c r="L313">
        <v>20</v>
      </c>
      <c r="M313" t="s">
        <v>34</v>
      </c>
      <c r="N313" t="s">
        <v>26</v>
      </c>
      <c r="O313" t="s">
        <v>27</v>
      </c>
      <c r="P313" t="s">
        <v>35</v>
      </c>
      <c r="Q313" t="s">
        <v>65</v>
      </c>
      <c r="R313">
        <v>3</v>
      </c>
      <c r="S313">
        <v>-30.8</v>
      </c>
      <c r="T313">
        <v>40.200000000000003</v>
      </c>
      <c r="U313">
        <v>55</v>
      </c>
      <c r="V313">
        <v>3</v>
      </c>
    </row>
    <row r="314" spans="1:22" x14ac:dyDescent="0.35">
      <c r="A314" t="s">
        <v>669</v>
      </c>
      <c r="B314" t="s">
        <v>670</v>
      </c>
      <c r="C314" t="s">
        <v>97</v>
      </c>
      <c r="D314" t="s">
        <v>46</v>
      </c>
      <c r="E314">
        <v>2027</v>
      </c>
      <c r="F314">
        <v>159</v>
      </c>
      <c r="G314">
        <v>50.4</v>
      </c>
      <c r="H314">
        <v>387.2</v>
      </c>
      <c r="I314">
        <v>43.6</v>
      </c>
      <c r="J314">
        <v>7.9</v>
      </c>
      <c r="K314">
        <v>169.36</v>
      </c>
      <c r="L314">
        <v>17</v>
      </c>
      <c r="M314" t="s">
        <v>26</v>
      </c>
      <c r="N314" t="s">
        <v>27</v>
      </c>
      <c r="O314" t="s">
        <v>26</v>
      </c>
      <c r="P314" t="s">
        <v>28</v>
      </c>
      <c r="Q314" t="s">
        <v>29</v>
      </c>
      <c r="R314">
        <v>10</v>
      </c>
      <c r="S314">
        <v>43.2</v>
      </c>
      <c r="T314">
        <v>10.8</v>
      </c>
      <c r="U314">
        <v>253</v>
      </c>
      <c r="V314">
        <v>10</v>
      </c>
    </row>
    <row r="315" spans="1:22" x14ac:dyDescent="0.35">
      <c r="A315" t="s">
        <v>671</v>
      </c>
      <c r="B315" t="s">
        <v>672</v>
      </c>
      <c r="C315" t="s">
        <v>32</v>
      </c>
      <c r="D315" t="s">
        <v>57</v>
      </c>
      <c r="E315">
        <v>2032</v>
      </c>
      <c r="F315">
        <v>3.5</v>
      </c>
      <c r="G315">
        <v>62.4</v>
      </c>
      <c r="H315">
        <v>643.1</v>
      </c>
      <c r="I315">
        <v>9.6</v>
      </c>
      <c r="J315">
        <v>39.799999999999997</v>
      </c>
      <c r="K315">
        <v>12.9</v>
      </c>
      <c r="L315">
        <v>26</v>
      </c>
      <c r="M315" t="s">
        <v>26</v>
      </c>
      <c r="N315" t="s">
        <v>27</v>
      </c>
      <c r="O315" t="s">
        <v>27</v>
      </c>
      <c r="P315" t="s">
        <v>35</v>
      </c>
      <c r="Q315" t="s">
        <v>36</v>
      </c>
      <c r="R315">
        <v>-3.9</v>
      </c>
      <c r="S315">
        <v>-1176.9000000000001</v>
      </c>
      <c r="T315">
        <v>35.5</v>
      </c>
      <c r="U315">
        <v>10</v>
      </c>
      <c r="V315">
        <v>2</v>
      </c>
    </row>
    <row r="316" spans="1:22" x14ac:dyDescent="0.35">
      <c r="A316" t="s">
        <v>673</v>
      </c>
      <c r="B316" t="s">
        <v>674</v>
      </c>
      <c r="C316" t="s">
        <v>32</v>
      </c>
      <c r="D316" t="s">
        <v>57</v>
      </c>
      <c r="E316">
        <v>2027</v>
      </c>
      <c r="F316">
        <v>3.5</v>
      </c>
      <c r="G316">
        <v>76.3</v>
      </c>
      <c r="H316">
        <v>613.4</v>
      </c>
      <c r="I316">
        <v>4</v>
      </c>
      <c r="J316">
        <v>38</v>
      </c>
      <c r="K316">
        <v>11.93</v>
      </c>
      <c r="L316">
        <v>23</v>
      </c>
      <c r="M316" t="s">
        <v>26</v>
      </c>
      <c r="N316" t="s">
        <v>26</v>
      </c>
      <c r="O316" t="s">
        <v>26</v>
      </c>
      <c r="P316" t="s">
        <v>52</v>
      </c>
      <c r="Q316" t="s">
        <v>36</v>
      </c>
      <c r="R316">
        <v>-6.2</v>
      </c>
      <c r="S316">
        <v>-1140.5</v>
      </c>
      <c r="T316">
        <v>38.6</v>
      </c>
      <c r="U316">
        <v>10</v>
      </c>
      <c r="V316">
        <v>5</v>
      </c>
    </row>
    <row r="317" spans="1:22" x14ac:dyDescent="0.35">
      <c r="A317" t="s">
        <v>675</v>
      </c>
      <c r="B317" t="s">
        <v>676</v>
      </c>
      <c r="C317" t="s">
        <v>43</v>
      </c>
      <c r="D317" t="s">
        <v>46</v>
      </c>
      <c r="E317">
        <v>2035</v>
      </c>
      <c r="F317">
        <v>137.6</v>
      </c>
      <c r="G317">
        <v>28.9</v>
      </c>
      <c r="H317">
        <v>452.5</v>
      </c>
      <c r="I317">
        <v>11.6</v>
      </c>
      <c r="J317">
        <v>13.4</v>
      </c>
      <c r="K317">
        <v>52.85</v>
      </c>
      <c r="L317">
        <v>20</v>
      </c>
      <c r="M317" t="s">
        <v>26</v>
      </c>
      <c r="N317" t="s">
        <v>27</v>
      </c>
      <c r="O317" t="s">
        <v>26</v>
      </c>
      <c r="P317" t="s">
        <v>28</v>
      </c>
      <c r="Q317" t="s">
        <v>36</v>
      </c>
      <c r="R317">
        <v>-0.3</v>
      </c>
      <c r="S317">
        <v>-476.2</v>
      </c>
      <c r="T317">
        <v>50.2</v>
      </c>
      <c r="U317">
        <v>118</v>
      </c>
      <c r="V317">
        <v>3</v>
      </c>
    </row>
    <row r="318" spans="1:22" x14ac:dyDescent="0.35">
      <c r="A318" t="s">
        <v>677</v>
      </c>
      <c r="B318" t="s">
        <v>678</v>
      </c>
      <c r="C318" t="s">
        <v>39</v>
      </c>
      <c r="D318" t="s">
        <v>33</v>
      </c>
      <c r="E318">
        <v>2033</v>
      </c>
      <c r="F318">
        <v>613.70000000000005</v>
      </c>
      <c r="G318">
        <v>71.5</v>
      </c>
      <c r="H318">
        <v>806.9</v>
      </c>
      <c r="I318">
        <v>88.5</v>
      </c>
      <c r="J318">
        <v>32.9</v>
      </c>
      <c r="K318">
        <v>76.88</v>
      </c>
      <c r="L318">
        <v>28</v>
      </c>
      <c r="M318" t="s">
        <v>26</v>
      </c>
      <c r="N318" t="s">
        <v>26</v>
      </c>
      <c r="O318" t="s">
        <v>26</v>
      </c>
      <c r="P318" t="s">
        <v>35</v>
      </c>
      <c r="Q318" t="s">
        <v>36</v>
      </c>
      <c r="R318">
        <v>6.8</v>
      </c>
      <c r="S318">
        <v>321.39999999999998</v>
      </c>
      <c r="T318">
        <v>14.5</v>
      </c>
      <c r="U318">
        <v>277</v>
      </c>
      <c r="V318">
        <v>10</v>
      </c>
    </row>
    <row r="319" spans="1:22" x14ac:dyDescent="0.35">
      <c r="A319" t="s">
        <v>679</v>
      </c>
      <c r="B319" t="s">
        <v>680</v>
      </c>
      <c r="C319" t="s">
        <v>120</v>
      </c>
      <c r="D319" t="s">
        <v>33</v>
      </c>
      <c r="E319">
        <v>2029</v>
      </c>
      <c r="F319">
        <v>626</v>
      </c>
      <c r="G319">
        <v>63.4</v>
      </c>
      <c r="H319">
        <v>2097.6999999999998</v>
      </c>
      <c r="I319">
        <v>80.599999999999994</v>
      </c>
      <c r="J319">
        <v>140</v>
      </c>
      <c r="K319">
        <v>1530.15</v>
      </c>
      <c r="L319">
        <v>19</v>
      </c>
      <c r="M319" t="s">
        <v>26</v>
      </c>
      <c r="N319" t="s">
        <v>27</v>
      </c>
      <c r="O319" t="s">
        <v>34</v>
      </c>
      <c r="P319" t="s">
        <v>52</v>
      </c>
      <c r="Q319" t="s">
        <v>29</v>
      </c>
      <c r="R319">
        <v>-2.7</v>
      </c>
      <c r="S319">
        <v>-2792.1</v>
      </c>
      <c r="T319">
        <v>38.299999999999997</v>
      </c>
      <c r="U319">
        <v>535</v>
      </c>
      <c r="V319">
        <v>4</v>
      </c>
    </row>
    <row r="320" spans="1:22" x14ac:dyDescent="0.35">
      <c r="A320" t="s">
        <v>681</v>
      </c>
      <c r="B320" t="s">
        <v>682</v>
      </c>
      <c r="C320" t="s">
        <v>120</v>
      </c>
      <c r="D320" t="s">
        <v>33</v>
      </c>
      <c r="E320">
        <v>2033</v>
      </c>
      <c r="F320">
        <v>560.1</v>
      </c>
      <c r="G320">
        <v>43.5</v>
      </c>
      <c r="H320">
        <v>1296</v>
      </c>
      <c r="I320">
        <v>25.4</v>
      </c>
      <c r="J320">
        <v>49</v>
      </c>
      <c r="K320">
        <v>1546.43</v>
      </c>
      <c r="L320">
        <v>16</v>
      </c>
      <c r="M320" t="s">
        <v>26</v>
      </c>
      <c r="N320" t="s">
        <v>34</v>
      </c>
      <c r="O320" t="s">
        <v>27</v>
      </c>
      <c r="P320" t="s">
        <v>35</v>
      </c>
      <c r="Q320" t="s">
        <v>65</v>
      </c>
      <c r="R320">
        <v>-0.8</v>
      </c>
      <c r="S320">
        <v>-1558.1</v>
      </c>
      <c r="T320">
        <v>59.8</v>
      </c>
      <c r="U320">
        <v>460</v>
      </c>
      <c r="V320">
        <v>9</v>
      </c>
    </row>
    <row r="321" spans="1:22" x14ac:dyDescent="0.35">
      <c r="A321" t="s">
        <v>683</v>
      </c>
      <c r="B321" t="s">
        <v>684</v>
      </c>
      <c r="C321" t="s">
        <v>62</v>
      </c>
      <c r="D321" t="s">
        <v>57</v>
      </c>
      <c r="E321">
        <v>2029</v>
      </c>
      <c r="F321">
        <v>445.9</v>
      </c>
      <c r="G321">
        <v>15.3</v>
      </c>
      <c r="H321">
        <v>404.9</v>
      </c>
      <c r="I321">
        <v>28.1</v>
      </c>
      <c r="J321">
        <v>12.1</v>
      </c>
      <c r="K321">
        <v>241.8</v>
      </c>
      <c r="L321">
        <v>30</v>
      </c>
      <c r="M321" t="s">
        <v>27</v>
      </c>
      <c r="N321" t="s">
        <v>34</v>
      </c>
      <c r="O321" t="s">
        <v>26</v>
      </c>
      <c r="P321" t="s">
        <v>52</v>
      </c>
      <c r="Q321" t="s">
        <v>36</v>
      </c>
      <c r="R321">
        <v>4.5999999999999996</v>
      </c>
      <c r="S321">
        <v>-115.2</v>
      </c>
      <c r="T321">
        <v>25.3</v>
      </c>
      <c r="U321">
        <v>377</v>
      </c>
      <c r="V321">
        <v>10</v>
      </c>
    </row>
    <row r="322" spans="1:22" x14ac:dyDescent="0.35">
      <c r="A322" t="s">
        <v>685</v>
      </c>
      <c r="B322" t="s">
        <v>686</v>
      </c>
      <c r="C322" t="s">
        <v>62</v>
      </c>
      <c r="D322" t="s">
        <v>46</v>
      </c>
      <c r="E322">
        <v>2032</v>
      </c>
      <c r="F322">
        <v>182.4</v>
      </c>
      <c r="G322">
        <v>23</v>
      </c>
      <c r="H322">
        <v>130</v>
      </c>
      <c r="I322">
        <v>21.6</v>
      </c>
      <c r="J322">
        <v>3.2</v>
      </c>
      <c r="K322">
        <v>124.1</v>
      </c>
      <c r="L322">
        <v>28</v>
      </c>
      <c r="M322" t="s">
        <v>26</v>
      </c>
      <c r="N322" t="s">
        <v>27</v>
      </c>
      <c r="O322" t="s">
        <v>26</v>
      </c>
      <c r="P322" t="s">
        <v>28</v>
      </c>
      <c r="Q322" t="s">
        <v>65</v>
      </c>
      <c r="R322">
        <v>13.3</v>
      </c>
      <c r="S322">
        <v>248.6</v>
      </c>
      <c r="T322">
        <v>7.1</v>
      </c>
      <c r="U322">
        <v>111</v>
      </c>
      <c r="V322">
        <v>2</v>
      </c>
    </row>
    <row r="323" spans="1:22" x14ac:dyDescent="0.35">
      <c r="A323" t="s">
        <v>687</v>
      </c>
      <c r="B323" t="s">
        <v>688</v>
      </c>
      <c r="C323" t="s">
        <v>32</v>
      </c>
      <c r="D323" t="s">
        <v>57</v>
      </c>
      <c r="E323">
        <v>2029</v>
      </c>
      <c r="F323">
        <v>7.5</v>
      </c>
      <c r="G323">
        <v>66.7</v>
      </c>
      <c r="H323">
        <v>645.4</v>
      </c>
      <c r="I323">
        <v>104.5</v>
      </c>
      <c r="J323">
        <v>51.3</v>
      </c>
      <c r="K323">
        <v>17.28</v>
      </c>
      <c r="L323">
        <v>20</v>
      </c>
      <c r="M323" t="s">
        <v>26</v>
      </c>
      <c r="N323" t="s">
        <v>27</v>
      </c>
      <c r="O323" t="s">
        <v>26</v>
      </c>
      <c r="P323" t="s">
        <v>35</v>
      </c>
      <c r="Q323" t="s">
        <v>29</v>
      </c>
      <c r="R323">
        <v>9.1999999999999993</v>
      </c>
      <c r="S323">
        <v>170.9</v>
      </c>
      <c r="T323">
        <v>12.1</v>
      </c>
      <c r="U323">
        <v>11</v>
      </c>
      <c r="V323">
        <v>1</v>
      </c>
    </row>
    <row r="324" spans="1:22" x14ac:dyDescent="0.35">
      <c r="A324" t="s">
        <v>689</v>
      </c>
      <c r="B324" t="s">
        <v>690</v>
      </c>
      <c r="C324" t="s">
        <v>32</v>
      </c>
      <c r="D324" t="s">
        <v>40</v>
      </c>
      <c r="E324">
        <v>2031</v>
      </c>
      <c r="F324">
        <v>4.3</v>
      </c>
      <c r="G324">
        <v>84.8</v>
      </c>
      <c r="H324">
        <v>803.3</v>
      </c>
      <c r="I324">
        <v>98.3</v>
      </c>
      <c r="J324">
        <v>34.9</v>
      </c>
      <c r="K324">
        <v>11.52</v>
      </c>
      <c r="L324">
        <v>24</v>
      </c>
      <c r="M324" t="s">
        <v>27</v>
      </c>
      <c r="N324" t="s">
        <v>26</v>
      </c>
      <c r="O324" t="s">
        <v>26</v>
      </c>
      <c r="P324" t="s">
        <v>52</v>
      </c>
      <c r="Q324" t="s">
        <v>65</v>
      </c>
      <c r="R324">
        <v>7.7</v>
      </c>
      <c r="S324">
        <v>97.5</v>
      </c>
      <c r="T324">
        <v>12.7</v>
      </c>
      <c r="U324">
        <v>10</v>
      </c>
      <c r="V324">
        <v>4</v>
      </c>
    </row>
    <row r="325" spans="1:22" x14ac:dyDescent="0.35">
      <c r="A325" t="s">
        <v>691</v>
      </c>
      <c r="B325" t="s">
        <v>692</v>
      </c>
      <c r="C325" t="s">
        <v>39</v>
      </c>
      <c r="D325" t="s">
        <v>33</v>
      </c>
      <c r="E325">
        <v>2034</v>
      </c>
      <c r="F325">
        <v>534.5</v>
      </c>
      <c r="G325">
        <v>59.7</v>
      </c>
      <c r="H325">
        <v>517.5</v>
      </c>
      <c r="I325">
        <v>82.6</v>
      </c>
      <c r="J325">
        <v>22.1</v>
      </c>
      <c r="K325">
        <v>184.74</v>
      </c>
      <c r="L325">
        <v>40</v>
      </c>
      <c r="M325" t="s">
        <v>27</v>
      </c>
      <c r="N325" t="s">
        <v>26</v>
      </c>
      <c r="O325" t="s">
        <v>26</v>
      </c>
      <c r="P325" t="s">
        <v>52</v>
      </c>
      <c r="Q325" t="s">
        <v>36</v>
      </c>
      <c r="R325">
        <v>11.7</v>
      </c>
      <c r="S325">
        <v>952.5</v>
      </c>
      <c r="T325">
        <v>8.5</v>
      </c>
      <c r="U325">
        <v>238</v>
      </c>
      <c r="V325">
        <v>6</v>
      </c>
    </row>
    <row r="326" spans="1:22" x14ac:dyDescent="0.35">
      <c r="A326" t="s">
        <v>693</v>
      </c>
      <c r="B326" t="s">
        <v>694</v>
      </c>
      <c r="C326" t="s">
        <v>43</v>
      </c>
      <c r="D326" t="s">
        <v>46</v>
      </c>
      <c r="E326">
        <v>2032</v>
      </c>
      <c r="F326">
        <v>424.9</v>
      </c>
      <c r="G326">
        <v>24.1</v>
      </c>
      <c r="H326">
        <v>729.6</v>
      </c>
      <c r="I326">
        <v>125.8</v>
      </c>
      <c r="J326">
        <v>26.2</v>
      </c>
      <c r="K326">
        <v>99.97</v>
      </c>
      <c r="L326">
        <v>15</v>
      </c>
      <c r="M326" t="s">
        <v>27</v>
      </c>
      <c r="N326" t="s">
        <v>27</v>
      </c>
      <c r="O326" t="s">
        <v>34</v>
      </c>
      <c r="P326" t="s">
        <v>35</v>
      </c>
      <c r="Q326" t="s">
        <v>47</v>
      </c>
      <c r="R326">
        <v>13.2</v>
      </c>
      <c r="S326">
        <v>138.6</v>
      </c>
      <c r="T326">
        <v>7.3</v>
      </c>
      <c r="U326">
        <v>198</v>
      </c>
      <c r="V326">
        <v>4</v>
      </c>
    </row>
    <row r="327" spans="1:22" x14ac:dyDescent="0.35">
      <c r="A327" t="s">
        <v>695</v>
      </c>
      <c r="B327" t="s">
        <v>696</v>
      </c>
      <c r="C327" t="s">
        <v>32</v>
      </c>
      <c r="D327" t="s">
        <v>57</v>
      </c>
      <c r="E327">
        <v>2033</v>
      </c>
      <c r="F327">
        <v>3.1</v>
      </c>
      <c r="G327">
        <v>89.6</v>
      </c>
      <c r="H327">
        <v>1887.1</v>
      </c>
      <c r="I327">
        <v>2</v>
      </c>
      <c r="J327">
        <v>90</v>
      </c>
      <c r="K327">
        <v>15.78</v>
      </c>
      <c r="L327">
        <v>23</v>
      </c>
      <c r="M327" t="s">
        <v>26</v>
      </c>
      <c r="N327" t="s">
        <v>26</v>
      </c>
      <c r="O327" t="s">
        <v>26</v>
      </c>
      <c r="P327" t="s">
        <v>52</v>
      </c>
      <c r="Q327" t="s">
        <v>36</v>
      </c>
      <c r="R327">
        <v>-9.3000000000000007</v>
      </c>
      <c r="S327">
        <v>-5153.3999999999996</v>
      </c>
      <c r="T327">
        <v>51.6</v>
      </c>
      <c r="U327">
        <v>10</v>
      </c>
      <c r="V327">
        <v>7</v>
      </c>
    </row>
    <row r="328" spans="1:22" x14ac:dyDescent="0.35">
      <c r="A328" t="s">
        <v>697</v>
      </c>
      <c r="B328" t="s">
        <v>698</v>
      </c>
      <c r="C328" t="s">
        <v>39</v>
      </c>
      <c r="D328" t="s">
        <v>25</v>
      </c>
      <c r="E328">
        <v>2032</v>
      </c>
      <c r="F328">
        <v>555.4</v>
      </c>
      <c r="G328">
        <v>69.400000000000006</v>
      </c>
      <c r="H328">
        <v>879.9</v>
      </c>
      <c r="I328">
        <v>69.099999999999994</v>
      </c>
      <c r="J328">
        <v>37.299999999999997</v>
      </c>
      <c r="K328">
        <v>223.5</v>
      </c>
      <c r="L328">
        <v>28</v>
      </c>
      <c r="M328" t="s">
        <v>26</v>
      </c>
      <c r="N328" t="s">
        <v>26</v>
      </c>
      <c r="O328" t="s">
        <v>26</v>
      </c>
      <c r="P328" t="s">
        <v>52</v>
      </c>
      <c r="Q328" t="s">
        <v>36</v>
      </c>
      <c r="R328">
        <v>3.5</v>
      </c>
      <c r="S328">
        <v>-309.5</v>
      </c>
      <c r="T328">
        <v>27.7</v>
      </c>
      <c r="U328">
        <v>335</v>
      </c>
      <c r="V328">
        <v>5</v>
      </c>
    </row>
    <row r="329" spans="1:22" x14ac:dyDescent="0.35">
      <c r="A329" t="s">
        <v>699</v>
      </c>
      <c r="B329" t="s">
        <v>700</v>
      </c>
      <c r="C329" t="s">
        <v>97</v>
      </c>
      <c r="D329" t="s">
        <v>57</v>
      </c>
      <c r="E329">
        <v>2030</v>
      </c>
      <c r="F329">
        <v>9.4</v>
      </c>
      <c r="G329">
        <v>52.4</v>
      </c>
      <c r="H329">
        <v>212.8</v>
      </c>
      <c r="I329">
        <v>27.1</v>
      </c>
      <c r="J329">
        <v>7.2</v>
      </c>
      <c r="K329">
        <v>14.47</v>
      </c>
      <c r="L329">
        <v>15</v>
      </c>
      <c r="M329" t="s">
        <v>26</v>
      </c>
      <c r="N329" t="s">
        <v>27</v>
      </c>
      <c r="O329" t="s">
        <v>26</v>
      </c>
      <c r="P329" t="s">
        <v>35</v>
      </c>
      <c r="Q329" t="s">
        <v>47</v>
      </c>
      <c r="R329">
        <v>8.1999999999999993</v>
      </c>
      <c r="S329">
        <v>15.1</v>
      </c>
      <c r="T329">
        <v>10.7</v>
      </c>
      <c r="U329">
        <v>10</v>
      </c>
      <c r="V329">
        <v>10</v>
      </c>
    </row>
    <row r="330" spans="1:22" x14ac:dyDescent="0.35">
      <c r="A330" t="s">
        <v>701</v>
      </c>
      <c r="B330" t="s">
        <v>702</v>
      </c>
      <c r="C330" t="s">
        <v>62</v>
      </c>
      <c r="D330" t="s">
        <v>33</v>
      </c>
      <c r="E330">
        <v>2027</v>
      </c>
      <c r="F330">
        <v>375.4</v>
      </c>
      <c r="G330">
        <v>13.8</v>
      </c>
      <c r="H330">
        <v>285.3</v>
      </c>
      <c r="I330">
        <v>40.4</v>
      </c>
      <c r="J330">
        <v>3.8</v>
      </c>
      <c r="K330">
        <v>191.12</v>
      </c>
      <c r="L330">
        <v>27</v>
      </c>
      <c r="M330" t="s">
        <v>27</v>
      </c>
      <c r="N330" t="s">
        <v>34</v>
      </c>
      <c r="O330" t="s">
        <v>27</v>
      </c>
      <c r="P330" t="s">
        <v>28</v>
      </c>
      <c r="Q330" t="s">
        <v>29</v>
      </c>
      <c r="R330">
        <v>12.4</v>
      </c>
      <c r="S330">
        <v>293.7</v>
      </c>
      <c r="T330">
        <v>7.8</v>
      </c>
      <c r="U330">
        <v>414</v>
      </c>
      <c r="V330">
        <v>2</v>
      </c>
    </row>
    <row r="331" spans="1:22" x14ac:dyDescent="0.35">
      <c r="A331" t="s">
        <v>703</v>
      </c>
      <c r="B331" t="s">
        <v>704</v>
      </c>
      <c r="C331" t="s">
        <v>39</v>
      </c>
      <c r="D331" t="s">
        <v>33</v>
      </c>
      <c r="E331">
        <v>2032</v>
      </c>
      <c r="F331">
        <v>372.1</v>
      </c>
      <c r="G331">
        <v>56.6</v>
      </c>
      <c r="H331">
        <v>1225.9000000000001</v>
      </c>
      <c r="I331">
        <v>111</v>
      </c>
      <c r="J331">
        <v>47.3</v>
      </c>
      <c r="K331">
        <v>265.36</v>
      </c>
      <c r="L331">
        <v>24</v>
      </c>
      <c r="M331" t="s">
        <v>26</v>
      </c>
      <c r="N331" t="s">
        <v>27</v>
      </c>
      <c r="O331" t="s">
        <v>34</v>
      </c>
      <c r="P331" t="s">
        <v>28</v>
      </c>
      <c r="Q331" t="s">
        <v>29</v>
      </c>
      <c r="R331">
        <v>5.0999999999999996</v>
      </c>
      <c r="S331">
        <v>-229.6</v>
      </c>
      <c r="T331">
        <v>19.2</v>
      </c>
      <c r="U331">
        <v>581</v>
      </c>
      <c r="V331">
        <v>8</v>
      </c>
    </row>
    <row r="332" spans="1:22" x14ac:dyDescent="0.35">
      <c r="A332" t="s">
        <v>705</v>
      </c>
      <c r="B332" t="s">
        <v>706</v>
      </c>
      <c r="C332" t="s">
        <v>43</v>
      </c>
      <c r="D332" t="s">
        <v>46</v>
      </c>
      <c r="E332">
        <v>2034</v>
      </c>
      <c r="F332">
        <v>450.7</v>
      </c>
      <c r="G332">
        <v>23.9</v>
      </c>
      <c r="H332">
        <v>424.6</v>
      </c>
      <c r="I332">
        <v>43.7</v>
      </c>
      <c r="J332">
        <v>11.7</v>
      </c>
      <c r="K332">
        <v>64.12</v>
      </c>
      <c r="L332">
        <v>18</v>
      </c>
      <c r="M332" t="s">
        <v>27</v>
      </c>
      <c r="N332" t="s">
        <v>27</v>
      </c>
      <c r="O332" t="s">
        <v>34</v>
      </c>
      <c r="P332" t="s">
        <v>52</v>
      </c>
      <c r="Q332" t="s">
        <v>36</v>
      </c>
      <c r="R332">
        <v>8.3000000000000007</v>
      </c>
      <c r="S332">
        <v>8.9</v>
      </c>
      <c r="T332">
        <v>13.3</v>
      </c>
      <c r="U332">
        <v>512</v>
      </c>
      <c r="V332">
        <v>1</v>
      </c>
    </row>
    <row r="333" spans="1:22" x14ac:dyDescent="0.35">
      <c r="A333" t="s">
        <v>707</v>
      </c>
      <c r="B333" t="s">
        <v>708</v>
      </c>
      <c r="C333" t="s">
        <v>24</v>
      </c>
      <c r="D333" t="s">
        <v>40</v>
      </c>
      <c r="E333">
        <v>2028</v>
      </c>
      <c r="F333">
        <v>1375.2</v>
      </c>
      <c r="G333">
        <v>39.6</v>
      </c>
      <c r="H333">
        <v>3146.8</v>
      </c>
      <c r="I333">
        <v>339.1</v>
      </c>
      <c r="J333">
        <v>136.6</v>
      </c>
      <c r="K333">
        <v>2822.68</v>
      </c>
      <c r="L333">
        <v>29</v>
      </c>
      <c r="M333" t="s">
        <v>34</v>
      </c>
      <c r="N333" t="s">
        <v>27</v>
      </c>
      <c r="O333" t="s">
        <v>26</v>
      </c>
      <c r="P333" t="s">
        <v>52</v>
      </c>
      <c r="Q333" t="s">
        <v>65</v>
      </c>
      <c r="R333">
        <v>7.1</v>
      </c>
      <c r="S333">
        <v>1198.5</v>
      </c>
      <c r="T333">
        <v>15.5</v>
      </c>
      <c r="U333">
        <v>1526</v>
      </c>
      <c r="V333">
        <v>9</v>
      </c>
    </row>
    <row r="334" spans="1:22" x14ac:dyDescent="0.35">
      <c r="A334" t="s">
        <v>709</v>
      </c>
      <c r="B334" t="s">
        <v>710</v>
      </c>
      <c r="C334" t="s">
        <v>62</v>
      </c>
      <c r="D334" t="s">
        <v>57</v>
      </c>
      <c r="E334">
        <v>2027</v>
      </c>
      <c r="F334">
        <v>315.3</v>
      </c>
      <c r="G334">
        <v>21.8</v>
      </c>
      <c r="H334">
        <v>515.9</v>
      </c>
      <c r="I334">
        <v>61.8</v>
      </c>
      <c r="J334">
        <v>13.9</v>
      </c>
      <c r="K334">
        <v>145.53</v>
      </c>
      <c r="L334">
        <v>30</v>
      </c>
      <c r="M334" t="s">
        <v>34</v>
      </c>
      <c r="N334" t="s">
        <v>26</v>
      </c>
      <c r="O334" t="s">
        <v>27</v>
      </c>
      <c r="P334" t="s">
        <v>52</v>
      </c>
      <c r="Q334" t="s">
        <v>47</v>
      </c>
      <c r="R334">
        <v>8.6</v>
      </c>
      <c r="S334">
        <v>599.6</v>
      </c>
      <c r="T334">
        <v>10.8</v>
      </c>
      <c r="U334">
        <v>157</v>
      </c>
      <c r="V334">
        <v>5</v>
      </c>
    </row>
    <row r="335" spans="1:22" x14ac:dyDescent="0.35">
      <c r="A335" t="s">
        <v>711</v>
      </c>
      <c r="B335" t="s">
        <v>712</v>
      </c>
      <c r="C335" t="s">
        <v>97</v>
      </c>
      <c r="D335" t="s">
        <v>40</v>
      </c>
      <c r="E335">
        <v>2027</v>
      </c>
      <c r="F335">
        <v>39.1</v>
      </c>
      <c r="G335">
        <v>41.4</v>
      </c>
      <c r="H335">
        <v>406.8</v>
      </c>
      <c r="I335">
        <v>55.2</v>
      </c>
      <c r="J335">
        <v>9.8000000000000007</v>
      </c>
      <c r="K335">
        <v>28.43</v>
      </c>
      <c r="L335">
        <v>16</v>
      </c>
      <c r="M335" t="s">
        <v>27</v>
      </c>
      <c r="N335" t="s">
        <v>34</v>
      </c>
      <c r="O335" t="s">
        <v>27</v>
      </c>
      <c r="P335" t="s">
        <v>28</v>
      </c>
      <c r="Q335" t="s">
        <v>47</v>
      </c>
      <c r="R335">
        <v>11.2</v>
      </c>
      <c r="S335">
        <v>113.3</v>
      </c>
      <c r="T335">
        <v>9</v>
      </c>
      <c r="U335">
        <v>35</v>
      </c>
      <c r="V335">
        <v>10</v>
      </c>
    </row>
    <row r="336" spans="1:22" x14ac:dyDescent="0.35">
      <c r="A336" t="s">
        <v>713</v>
      </c>
      <c r="B336" t="s">
        <v>714</v>
      </c>
      <c r="C336" t="s">
        <v>43</v>
      </c>
      <c r="D336" t="s">
        <v>25</v>
      </c>
      <c r="E336">
        <v>2032</v>
      </c>
      <c r="F336">
        <v>304.39999999999998</v>
      </c>
      <c r="G336">
        <v>22.8</v>
      </c>
      <c r="H336">
        <v>757.2</v>
      </c>
      <c r="I336">
        <v>175.4</v>
      </c>
      <c r="J336">
        <v>18.7</v>
      </c>
      <c r="K336">
        <v>71.959999999999994</v>
      </c>
      <c r="L336">
        <v>16</v>
      </c>
      <c r="M336" t="s">
        <v>34</v>
      </c>
      <c r="N336" t="s">
        <v>27</v>
      </c>
      <c r="O336" t="s">
        <v>26</v>
      </c>
      <c r="P336" t="s">
        <v>52</v>
      </c>
      <c r="Q336" t="s">
        <v>47</v>
      </c>
      <c r="R336">
        <v>20.8</v>
      </c>
      <c r="S336">
        <v>750.1</v>
      </c>
      <c r="T336">
        <v>4.8</v>
      </c>
      <c r="U336">
        <v>197</v>
      </c>
      <c r="V336">
        <v>10</v>
      </c>
    </row>
    <row r="337" spans="1:22" x14ac:dyDescent="0.35">
      <c r="A337" t="s">
        <v>715</v>
      </c>
      <c r="B337" t="s">
        <v>716</v>
      </c>
      <c r="C337" t="s">
        <v>39</v>
      </c>
      <c r="D337" t="s">
        <v>78</v>
      </c>
      <c r="E337">
        <v>2031</v>
      </c>
      <c r="F337">
        <v>190.9</v>
      </c>
      <c r="G337">
        <v>56.9</v>
      </c>
      <c r="H337">
        <v>153</v>
      </c>
      <c r="I337">
        <v>2</v>
      </c>
      <c r="J337">
        <v>7.8</v>
      </c>
      <c r="K337">
        <v>113.04</v>
      </c>
      <c r="L337">
        <v>28</v>
      </c>
      <c r="M337" t="s">
        <v>26</v>
      </c>
      <c r="N337" t="s">
        <v>26</v>
      </c>
      <c r="O337" t="s">
        <v>27</v>
      </c>
      <c r="P337" t="s">
        <v>35</v>
      </c>
      <c r="Q337" t="s">
        <v>47</v>
      </c>
      <c r="R337">
        <v>-6</v>
      </c>
      <c r="S337">
        <v>-329.5</v>
      </c>
      <c r="T337">
        <v>48.3</v>
      </c>
      <c r="U337">
        <v>279</v>
      </c>
      <c r="V337">
        <v>1</v>
      </c>
    </row>
    <row r="338" spans="1:22" x14ac:dyDescent="0.35">
      <c r="A338" t="s">
        <v>717</v>
      </c>
      <c r="B338" t="s">
        <v>718</v>
      </c>
      <c r="C338" t="s">
        <v>39</v>
      </c>
      <c r="D338" t="s">
        <v>46</v>
      </c>
      <c r="E338">
        <v>2029</v>
      </c>
      <c r="F338">
        <v>308.60000000000002</v>
      </c>
      <c r="G338">
        <v>37.799999999999997</v>
      </c>
      <c r="H338">
        <v>236.6</v>
      </c>
      <c r="I338">
        <v>22.2</v>
      </c>
      <c r="J338">
        <v>8.1</v>
      </c>
      <c r="K338">
        <v>145.88</v>
      </c>
      <c r="L338">
        <v>23</v>
      </c>
      <c r="M338" t="s">
        <v>26</v>
      </c>
      <c r="N338" t="s">
        <v>34</v>
      </c>
      <c r="O338" t="s">
        <v>27</v>
      </c>
      <c r="P338" t="s">
        <v>35</v>
      </c>
      <c r="Q338" t="s">
        <v>65</v>
      </c>
      <c r="R338">
        <v>6.4</v>
      </c>
      <c r="S338">
        <v>-35.700000000000003</v>
      </c>
      <c r="T338">
        <v>16.8</v>
      </c>
      <c r="U338">
        <v>178</v>
      </c>
      <c r="V338">
        <v>5</v>
      </c>
    </row>
    <row r="339" spans="1:22" x14ac:dyDescent="0.35">
      <c r="A339" t="s">
        <v>719</v>
      </c>
      <c r="B339" t="s">
        <v>720</v>
      </c>
      <c r="C339" t="s">
        <v>24</v>
      </c>
      <c r="D339" t="s">
        <v>25</v>
      </c>
      <c r="E339">
        <v>2031</v>
      </c>
      <c r="F339">
        <v>1356.5</v>
      </c>
      <c r="G339">
        <v>44.1</v>
      </c>
      <c r="H339">
        <v>1361.7</v>
      </c>
      <c r="I339">
        <v>86.6</v>
      </c>
      <c r="J339">
        <v>38.200000000000003</v>
      </c>
      <c r="K339">
        <v>3071.25</v>
      </c>
      <c r="L339">
        <v>29</v>
      </c>
      <c r="M339" t="s">
        <v>26</v>
      </c>
      <c r="N339" t="s">
        <v>26</v>
      </c>
      <c r="O339" t="s">
        <v>26</v>
      </c>
      <c r="P339" t="s">
        <v>28</v>
      </c>
      <c r="Q339" t="s">
        <v>47</v>
      </c>
      <c r="R339">
        <v>4</v>
      </c>
      <c r="S339">
        <v>-313.8</v>
      </c>
      <c r="T339">
        <v>28.1</v>
      </c>
      <c r="U339">
        <v>1621</v>
      </c>
      <c r="V339">
        <v>6</v>
      </c>
    </row>
    <row r="340" spans="1:22" x14ac:dyDescent="0.35">
      <c r="A340" t="s">
        <v>721</v>
      </c>
      <c r="B340" t="s">
        <v>722</v>
      </c>
      <c r="C340" t="s">
        <v>24</v>
      </c>
      <c r="D340" t="s">
        <v>46</v>
      </c>
      <c r="E340">
        <v>2034</v>
      </c>
      <c r="F340">
        <v>828.5</v>
      </c>
      <c r="G340">
        <v>41.6</v>
      </c>
      <c r="H340">
        <v>1823.4</v>
      </c>
      <c r="I340">
        <v>77.5</v>
      </c>
      <c r="J340">
        <v>49.1</v>
      </c>
      <c r="K340">
        <v>1061.3599999999999</v>
      </c>
      <c r="L340">
        <v>30</v>
      </c>
      <c r="M340" t="s">
        <v>26</v>
      </c>
      <c r="N340" t="s">
        <v>34</v>
      </c>
      <c r="O340" t="s">
        <v>26</v>
      </c>
      <c r="P340" t="s">
        <v>35</v>
      </c>
      <c r="Q340" t="s">
        <v>36</v>
      </c>
      <c r="R340">
        <v>1.4</v>
      </c>
      <c r="S340">
        <v>-1165</v>
      </c>
      <c r="T340">
        <v>64.099999999999994</v>
      </c>
      <c r="U340">
        <v>1179</v>
      </c>
      <c r="V340">
        <v>3</v>
      </c>
    </row>
    <row r="341" spans="1:22" x14ac:dyDescent="0.35">
      <c r="A341" t="s">
        <v>723</v>
      </c>
      <c r="B341" t="s">
        <v>724</v>
      </c>
      <c r="C341" t="s">
        <v>24</v>
      </c>
      <c r="D341" t="s">
        <v>33</v>
      </c>
      <c r="E341">
        <v>2032</v>
      </c>
      <c r="F341">
        <v>772.6</v>
      </c>
      <c r="G341">
        <v>43.9</v>
      </c>
      <c r="H341">
        <v>2156.1999999999998</v>
      </c>
      <c r="I341">
        <v>406.7</v>
      </c>
      <c r="J341">
        <v>102.7</v>
      </c>
      <c r="K341">
        <v>1126.3699999999999</v>
      </c>
      <c r="L341">
        <v>26</v>
      </c>
      <c r="M341" t="s">
        <v>26</v>
      </c>
      <c r="N341" t="s">
        <v>27</v>
      </c>
      <c r="O341" t="s">
        <v>27</v>
      </c>
      <c r="P341" t="s">
        <v>52</v>
      </c>
      <c r="Q341" t="s">
        <v>47</v>
      </c>
      <c r="R341">
        <v>14</v>
      </c>
      <c r="S341">
        <v>3903.2</v>
      </c>
      <c r="T341">
        <v>7.1</v>
      </c>
      <c r="U341">
        <v>279</v>
      </c>
      <c r="V341">
        <v>7</v>
      </c>
    </row>
    <row r="342" spans="1:22" x14ac:dyDescent="0.35">
      <c r="A342" t="s">
        <v>725</v>
      </c>
      <c r="B342" t="s">
        <v>726</v>
      </c>
      <c r="C342" t="s">
        <v>120</v>
      </c>
      <c r="D342" t="s">
        <v>40</v>
      </c>
      <c r="E342">
        <v>2031</v>
      </c>
      <c r="F342">
        <v>411</v>
      </c>
      <c r="G342">
        <v>75</v>
      </c>
      <c r="H342">
        <v>1966.4</v>
      </c>
      <c r="I342">
        <v>180.4</v>
      </c>
      <c r="J342">
        <v>97.3</v>
      </c>
      <c r="K342">
        <v>1803</v>
      </c>
      <c r="L342">
        <v>24</v>
      </c>
      <c r="M342" t="s">
        <v>26</v>
      </c>
      <c r="N342" t="s">
        <v>26</v>
      </c>
      <c r="O342" t="s">
        <v>34</v>
      </c>
      <c r="P342" t="s">
        <v>52</v>
      </c>
      <c r="Q342" t="s">
        <v>29</v>
      </c>
      <c r="R342">
        <v>5</v>
      </c>
      <c r="S342">
        <v>-593.29999999999995</v>
      </c>
      <c r="T342">
        <v>23.6</v>
      </c>
      <c r="U342">
        <v>604</v>
      </c>
      <c r="V342">
        <v>6</v>
      </c>
    </row>
    <row r="343" spans="1:22" x14ac:dyDescent="0.35">
      <c r="A343" t="s">
        <v>727</v>
      </c>
      <c r="B343" t="s">
        <v>728</v>
      </c>
      <c r="C343" t="s">
        <v>43</v>
      </c>
      <c r="D343" t="s">
        <v>25</v>
      </c>
      <c r="E343">
        <v>2029</v>
      </c>
      <c r="F343">
        <v>130.1</v>
      </c>
      <c r="G343">
        <v>20.399999999999999</v>
      </c>
      <c r="H343">
        <v>331.5</v>
      </c>
      <c r="I343">
        <v>77</v>
      </c>
      <c r="J343">
        <v>15.2</v>
      </c>
      <c r="K343">
        <v>16.809999999999999</v>
      </c>
      <c r="L343">
        <v>17</v>
      </c>
      <c r="M343" t="s">
        <v>26</v>
      </c>
      <c r="N343" t="s">
        <v>26</v>
      </c>
      <c r="O343" t="s">
        <v>34</v>
      </c>
      <c r="P343" t="s">
        <v>35</v>
      </c>
      <c r="Q343" t="s">
        <v>36</v>
      </c>
      <c r="R343">
        <v>18.8</v>
      </c>
      <c r="S343">
        <v>428.8</v>
      </c>
      <c r="T343">
        <v>5.4</v>
      </c>
      <c r="U343">
        <v>197</v>
      </c>
      <c r="V343">
        <v>9</v>
      </c>
    </row>
    <row r="344" spans="1:22" x14ac:dyDescent="0.35">
      <c r="A344" t="s">
        <v>729</v>
      </c>
      <c r="B344" t="s">
        <v>730</v>
      </c>
      <c r="C344" t="s">
        <v>62</v>
      </c>
      <c r="D344" t="s">
        <v>40</v>
      </c>
      <c r="E344">
        <v>2035</v>
      </c>
      <c r="F344">
        <v>77</v>
      </c>
      <c r="G344">
        <v>16.2</v>
      </c>
      <c r="H344">
        <v>167.8</v>
      </c>
      <c r="I344">
        <v>17</v>
      </c>
      <c r="J344">
        <v>2.4</v>
      </c>
      <c r="K344">
        <v>31.4</v>
      </c>
      <c r="L344">
        <v>29</v>
      </c>
      <c r="M344" t="s">
        <v>34</v>
      </c>
      <c r="N344" t="s">
        <v>27</v>
      </c>
      <c r="O344" t="s">
        <v>34</v>
      </c>
      <c r="P344" t="s">
        <v>35</v>
      </c>
      <c r="Q344" t="s">
        <v>36</v>
      </c>
      <c r="R344">
        <v>9.1999999999999993</v>
      </c>
      <c r="S344">
        <v>124.6</v>
      </c>
      <c r="T344">
        <v>11.5</v>
      </c>
      <c r="U344">
        <v>84</v>
      </c>
      <c r="V344">
        <v>9</v>
      </c>
    </row>
    <row r="345" spans="1:22" x14ac:dyDescent="0.35">
      <c r="A345" t="s">
        <v>731</v>
      </c>
      <c r="B345" t="s">
        <v>732</v>
      </c>
      <c r="C345" t="s">
        <v>97</v>
      </c>
      <c r="D345" t="s">
        <v>40</v>
      </c>
      <c r="E345">
        <v>2031</v>
      </c>
      <c r="F345">
        <v>33.1</v>
      </c>
      <c r="G345">
        <v>32.1</v>
      </c>
      <c r="H345">
        <v>88.9</v>
      </c>
      <c r="I345">
        <v>8.9</v>
      </c>
      <c r="J345">
        <v>1.9</v>
      </c>
      <c r="K345">
        <v>16.22</v>
      </c>
      <c r="L345">
        <v>20</v>
      </c>
      <c r="M345" t="s">
        <v>27</v>
      </c>
      <c r="N345" t="s">
        <v>27</v>
      </c>
      <c r="O345" t="s">
        <v>34</v>
      </c>
      <c r="P345" t="s">
        <v>52</v>
      </c>
      <c r="Q345" t="s">
        <v>65</v>
      </c>
      <c r="R345">
        <v>7.5</v>
      </c>
      <c r="S345">
        <v>-6.8</v>
      </c>
      <c r="T345">
        <v>12.7</v>
      </c>
      <c r="U345">
        <v>21</v>
      </c>
      <c r="V345">
        <v>10</v>
      </c>
    </row>
    <row r="346" spans="1:22" x14ac:dyDescent="0.35">
      <c r="A346" t="s">
        <v>733</v>
      </c>
      <c r="B346" t="s">
        <v>734</v>
      </c>
      <c r="C346" t="s">
        <v>32</v>
      </c>
      <c r="D346" t="s">
        <v>78</v>
      </c>
      <c r="E346">
        <v>2029</v>
      </c>
      <c r="F346">
        <v>5.5</v>
      </c>
      <c r="G346">
        <v>73.900000000000006</v>
      </c>
      <c r="H346">
        <v>1915.7</v>
      </c>
      <c r="I346">
        <v>2</v>
      </c>
      <c r="J346">
        <v>124.3</v>
      </c>
      <c r="K346">
        <v>22.3</v>
      </c>
      <c r="L346">
        <v>21</v>
      </c>
      <c r="M346" t="s">
        <v>26</v>
      </c>
      <c r="N346" t="s">
        <v>26</v>
      </c>
      <c r="O346" t="s">
        <v>27</v>
      </c>
      <c r="P346" t="s">
        <v>28</v>
      </c>
      <c r="Q346" t="s">
        <v>65</v>
      </c>
      <c r="R346">
        <v>-10.6</v>
      </c>
      <c r="S346">
        <v>-4866.5</v>
      </c>
      <c r="T346">
        <v>30</v>
      </c>
      <c r="U346">
        <v>10</v>
      </c>
      <c r="V346">
        <v>7</v>
      </c>
    </row>
    <row r="347" spans="1:22" x14ac:dyDescent="0.35">
      <c r="A347" t="s">
        <v>735</v>
      </c>
      <c r="B347" t="s">
        <v>736</v>
      </c>
      <c r="C347" t="s">
        <v>120</v>
      </c>
      <c r="D347" t="s">
        <v>40</v>
      </c>
      <c r="E347">
        <v>2031</v>
      </c>
      <c r="F347">
        <v>284.2</v>
      </c>
      <c r="G347">
        <v>66.7</v>
      </c>
      <c r="H347">
        <v>2371.6999999999998</v>
      </c>
      <c r="I347">
        <v>262.3</v>
      </c>
      <c r="J347">
        <v>118.8</v>
      </c>
      <c r="K347">
        <v>366.63</v>
      </c>
      <c r="L347">
        <v>16</v>
      </c>
      <c r="M347" t="s">
        <v>27</v>
      </c>
      <c r="N347" t="s">
        <v>26</v>
      </c>
      <c r="O347" t="s">
        <v>27</v>
      </c>
      <c r="P347" t="s">
        <v>28</v>
      </c>
      <c r="Q347" t="s">
        <v>36</v>
      </c>
      <c r="R347">
        <v>5.3</v>
      </c>
      <c r="S347">
        <v>-825.8</v>
      </c>
      <c r="T347">
        <v>16.5</v>
      </c>
      <c r="U347">
        <v>218</v>
      </c>
      <c r="V347">
        <v>1</v>
      </c>
    </row>
    <row r="348" spans="1:22" x14ac:dyDescent="0.35">
      <c r="A348" t="s">
        <v>737</v>
      </c>
      <c r="B348" t="s">
        <v>738</v>
      </c>
      <c r="C348" t="s">
        <v>97</v>
      </c>
      <c r="D348" t="s">
        <v>78</v>
      </c>
      <c r="E348">
        <v>2035</v>
      </c>
      <c r="F348">
        <v>103.8</v>
      </c>
      <c r="G348">
        <v>47.8</v>
      </c>
      <c r="H348">
        <v>300.39999999999998</v>
      </c>
      <c r="I348">
        <v>51.6</v>
      </c>
      <c r="J348">
        <v>10.8</v>
      </c>
      <c r="K348">
        <v>94.16</v>
      </c>
      <c r="L348">
        <v>18</v>
      </c>
      <c r="M348" t="s">
        <v>27</v>
      </c>
      <c r="N348" t="s">
        <v>26</v>
      </c>
      <c r="O348" t="s">
        <v>27</v>
      </c>
      <c r="P348" t="s">
        <v>28</v>
      </c>
      <c r="Q348" t="s">
        <v>29</v>
      </c>
      <c r="R348">
        <v>13.1</v>
      </c>
      <c r="S348">
        <v>178.2</v>
      </c>
      <c r="T348">
        <v>7.4</v>
      </c>
      <c r="U348">
        <v>119</v>
      </c>
      <c r="V348">
        <v>6</v>
      </c>
    </row>
    <row r="349" spans="1:22" x14ac:dyDescent="0.35">
      <c r="A349" t="s">
        <v>739</v>
      </c>
      <c r="B349" t="s">
        <v>740</v>
      </c>
      <c r="C349" t="s">
        <v>120</v>
      </c>
      <c r="D349" t="s">
        <v>57</v>
      </c>
      <c r="E349">
        <v>2027</v>
      </c>
      <c r="F349">
        <v>250.5</v>
      </c>
      <c r="G349">
        <v>33.700000000000003</v>
      </c>
      <c r="H349">
        <v>1911.4</v>
      </c>
      <c r="I349">
        <v>112</v>
      </c>
      <c r="J349">
        <v>72.8</v>
      </c>
      <c r="K349">
        <v>254.35</v>
      </c>
      <c r="L349">
        <v>22</v>
      </c>
      <c r="M349" t="s">
        <v>26</v>
      </c>
      <c r="N349" t="s">
        <v>34</v>
      </c>
      <c r="O349" t="s">
        <v>27</v>
      </c>
      <c r="P349" t="s">
        <v>52</v>
      </c>
      <c r="Q349" t="s">
        <v>36</v>
      </c>
      <c r="R349">
        <v>1.6</v>
      </c>
      <c r="S349">
        <v>-1327.3</v>
      </c>
      <c r="T349">
        <v>48.8</v>
      </c>
      <c r="U349">
        <v>372</v>
      </c>
      <c r="V349">
        <v>5</v>
      </c>
    </row>
    <row r="350" spans="1:22" x14ac:dyDescent="0.35">
      <c r="A350" t="s">
        <v>741</v>
      </c>
      <c r="B350" t="s">
        <v>742</v>
      </c>
      <c r="C350" t="s">
        <v>97</v>
      </c>
      <c r="D350" t="s">
        <v>46</v>
      </c>
      <c r="E350">
        <v>2029</v>
      </c>
      <c r="F350">
        <v>123.6</v>
      </c>
      <c r="G350">
        <v>46.1</v>
      </c>
      <c r="H350">
        <v>417.6</v>
      </c>
      <c r="I350">
        <v>12.9</v>
      </c>
      <c r="J350">
        <v>11.1</v>
      </c>
      <c r="K350">
        <v>169.26</v>
      </c>
      <c r="L350">
        <v>19</v>
      </c>
      <c r="M350" t="s">
        <v>26</v>
      </c>
      <c r="N350" t="s">
        <v>26</v>
      </c>
      <c r="O350" t="s">
        <v>26</v>
      </c>
      <c r="P350" t="s">
        <v>52</v>
      </c>
      <c r="Q350" t="s">
        <v>29</v>
      </c>
      <c r="R350">
        <v>0.1</v>
      </c>
      <c r="S350">
        <v>-394.4</v>
      </c>
      <c r="T350">
        <v>225.6</v>
      </c>
      <c r="U350">
        <v>124</v>
      </c>
      <c r="V350">
        <v>8</v>
      </c>
    </row>
    <row r="351" spans="1:22" x14ac:dyDescent="0.35">
      <c r="A351" t="s">
        <v>743</v>
      </c>
      <c r="B351" t="s">
        <v>744</v>
      </c>
      <c r="C351" t="s">
        <v>62</v>
      </c>
      <c r="D351" t="s">
        <v>46</v>
      </c>
      <c r="E351">
        <v>2032</v>
      </c>
      <c r="F351">
        <v>227.1</v>
      </c>
      <c r="G351">
        <v>21.9</v>
      </c>
      <c r="H351">
        <v>493.1</v>
      </c>
      <c r="I351">
        <v>40.1</v>
      </c>
      <c r="J351">
        <v>12.8</v>
      </c>
      <c r="K351">
        <v>166.86</v>
      </c>
      <c r="L351">
        <v>27</v>
      </c>
      <c r="M351" t="s">
        <v>26</v>
      </c>
      <c r="N351" t="s">
        <v>34</v>
      </c>
      <c r="O351" t="s">
        <v>26</v>
      </c>
      <c r="P351" t="s">
        <v>35</v>
      </c>
      <c r="Q351" t="s">
        <v>36</v>
      </c>
      <c r="R351">
        <v>6.2</v>
      </c>
      <c r="S351">
        <v>-50.9</v>
      </c>
      <c r="T351">
        <v>18</v>
      </c>
      <c r="U351">
        <v>258</v>
      </c>
      <c r="V351">
        <v>3</v>
      </c>
    </row>
    <row r="352" spans="1:22" x14ac:dyDescent="0.35">
      <c r="A352" t="s">
        <v>745</v>
      </c>
      <c r="B352" t="s">
        <v>746</v>
      </c>
      <c r="C352" t="s">
        <v>39</v>
      </c>
      <c r="D352" t="s">
        <v>33</v>
      </c>
      <c r="E352">
        <v>2031</v>
      </c>
      <c r="F352">
        <v>872.8</v>
      </c>
      <c r="G352">
        <v>49.9</v>
      </c>
      <c r="H352">
        <v>1127.2</v>
      </c>
      <c r="I352">
        <v>97.9</v>
      </c>
      <c r="J352">
        <v>23.2</v>
      </c>
      <c r="K352">
        <v>179.99</v>
      </c>
      <c r="L352">
        <v>26</v>
      </c>
      <c r="M352" t="s">
        <v>27</v>
      </c>
      <c r="N352" t="s">
        <v>27</v>
      </c>
      <c r="O352" t="s">
        <v>27</v>
      </c>
      <c r="P352" t="s">
        <v>28</v>
      </c>
      <c r="Q352" t="s">
        <v>29</v>
      </c>
      <c r="R352">
        <v>6.6</v>
      </c>
      <c r="S352">
        <v>33.799999999999997</v>
      </c>
      <c r="T352">
        <v>15.1</v>
      </c>
      <c r="U352">
        <v>663</v>
      </c>
      <c r="V352">
        <v>2</v>
      </c>
    </row>
    <row r="353" spans="1:22" x14ac:dyDescent="0.35">
      <c r="A353" t="s">
        <v>747</v>
      </c>
      <c r="B353" t="s">
        <v>748</v>
      </c>
      <c r="C353" t="s">
        <v>24</v>
      </c>
      <c r="D353" t="s">
        <v>40</v>
      </c>
      <c r="E353">
        <v>2028</v>
      </c>
      <c r="F353">
        <v>740.7</v>
      </c>
      <c r="G353">
        <v>42.4</v>
      </c>
      <c r="H353">
        <v>1488.1</v>
      </c>
      <c r="I353">
        <v>99.9</v>
      </c>
      <c r="J353">
        <v>42.1</v>
      </c>
      <c r="K353">
        <v>1113.6199999999999</v>
      </c>
      <c r="L353">
        <v>26</v>
      </c>
      <c r="M353" t="s">
        <v>26</v>
      </c>
      <c r="N353" t="s">
        <v>26</v>
      </c>
      <c r="O353" t="s">
        <v>27</v>
      </c>
      <c r="P353" t="s">
        <v>28</v>
      </c>
      <c r="Q353" t="s">
        <v>29</v>
      </c>
      <c r="R353">
        <v>3.6</v>
      </c>
      <c r="S353">
        <v>-412.7</v>
      </c>
      <c r="T353">
        <v>25.8</v>
      </c>
      <c r="U353">
        <v>990</v>
      </c>
      <c r="V353">
        <v>4</v>
      </c>
    </row>
    <row r="354" spans="1:22" x14ac:dyDescent="0.35">
      <c r="A354" t="s">
        <v>749</v>
      </c>
      <c r="B354" t="s">
        <v>750</v>
      </c>
      <c r="C354" t="s">
        <v>62</v>
      </c>
      <c r="D354" t="s">
        <v>40</v>
      </c>
      <c r="E354">
        <v>2035</v>
      </c>
      <c r="F354">
        <v>367.1</v>
      </c>
      <c r="G354">
        <v>12.8</v>
      </c>
      <c r="H354">
        <v>543.1</v>
      </c>
      <c r="I354">
        <v>85.7</v>
      </c>
      <c r="J354">
        <v>11</v>
      </c>
      <c r="K354">
        <v>158.69999999999999</v>
      </c>
      <c r="L354">
        <v>26</v>
      </c>
      <c r="M354" t="s">
        <v>34</v>
      </c>
      <c r="N354" t="s">
        <v>26</v>
      </c>
      <c r="O354" t="s">
        <v>27</v>
      </c>
      <c r="P354" t="s">
        <v>28</v>
      </c>
      <c r="Q354" t="s">
        <v>47</v>
      </c>
      <c r="R354">
        <v>14</v>
      </c>
      <c r="S354">
        <v>735.2</v>
      </c>
      <c r="T354">
        <v>7.3</v>
      </c>
      <c r="U354">
        <v>389</v>
      </c>
      <c r="V354">
        <v>1</v>
      </c>
    </row>
    <row r="355" spans="1:22" x14ac:dyDescent="0.35">
      <c r="A355" t="s">
        <v>751</v>
      </c>
      <c r="B355" t="s">
        <v>752</v>
      </c>
      <c r="C355" t="s">
        <v>97</v>
      </c>
      <c r="D355" t="s">
        <v>33</v>
      </c>
      <c r="E355">
        <v>2035</v>
      </c>
      <c r="F355">
        <v>92</v>
      </c>
      <c r="G355">
        <v>44.3</v>
      </c>
      <c r="H355">
        <v>411.3</v>
      </c>
      <c r="I355">
        <v>51.4</v>
      </c>
      <c r="J355">
        <v>14.2</v>
      </c>
      <c r="K355">
        <v>52.21</v>
      </c>
      <c r="L355">
        <v>20</v>
      </c>
      <c r="M355" t="s">
        <v>27</v>
      </c>
      <c r="N355" t="s">
        <v>26</v>
      </c>
      <c r="O355" t="s">
        <v>27</v>
      </c>
      <c r="P355" t="s">
        <v>35</v>
      </c>
      <c r="Q355" t="s">
        <v>47</v>
      </c>
      <c r="R355">
        <v>9.6999999999999993</v>
      </c>
      <c r="S355">
        <v>134.9</v>
      </c>
      <c r="T355">
        <v>11.1</v>
      </c>
      <c r="U355">
        <v>83</v>
      </c>
      <c r="V355">
        <v>5</v>
      </c>
    </row>
    <row r="356" spans="1:22" x14ac:dyDescent="0.35">
      <c r="A356" t="s">
        <v>753</v>
      </c>
      <c r="B356" t="s">
        <v>754</v>
      </c>
      <c r="C356" t="s">
        <v>24</v>
      </c>
      <c r="D356" t="s">
        <v>57</v>
      </c>
      <c r="E356">
        <v>2035</v>
      </c>
      <c r="F356">
        <v>1391.6</v>
      </c>
      <c r="G356">
        <v>48.4</v>
      </c>
      <c r="H356">
        <v>2147.5</v>
      </c>
      <c r="I356">
        <v>306.7</v>
      </c>
      <c r="J356">
        <v>94.9</v>
      </c>
      <c r="K356">
        <v>2534.2800000000002</v>
      </c>
      <c r="L356">
        <v>26</v>
      </c>
      <c r="M356" t="s">
        <v>26</v>
      </c>
      <c r="N356" t="s">
        <v>34</v>
      </c>
      <c r="O356" t="s">
        <v>26</v>
      </c>
      <c r="P356" t="s">
        <v>35</v>
      </c>
      <c r="Q356" t="s">
        <v>36</v>
      </c>
      <c r="R356">
        <v>9.8000000000000007</v>
      </c>
      <c r="S356">
        <v>1733.4</v>
      </c>
      <c r="T356">
        <v>10.1</v>
      </c>
      <c r="U356">
        <v>557</v>
      </c>
      <c r="V356">
        <v>3</v>
      </c>
    </row>
    <row r="357" spans="1:22" x14ac:dyDescent="0.35">
      <c r="A357" t="s">
        <v>755</v>
      </c>
      <c r="B357" t="s">
        <v>756</v>
      </c>
      <c r="C357" t="s">
        <v>43</v>
      </c>
      <c r="D357" t="s">
        <v>78</v>
      </c>
      <c r="E357">
        <v>2033</v>
      </c>
      <c r="F357">
        <v>486.4</v>
      </c>
      <c r="G357">
        <v>23.5</v>
      </c>
      <c r="H357">
        <v>810.5</v>
      </c>
      <c r="I357">
        <v>115.1</v>
      </c>
      <c r="J357">
        <v>32.200000000000003</v>
      </c>
      <c r="K357">
        <v>208.42</v>
      </c>
      <c r="L357">
        <v>14</v>
      </c>
      <c r="M357" t="s">
        <v>26</v>
      </c>
      <c r="N357" t="s">
        <v>34</v>
      </c>
      <c r="O357" t="s">
        <v>34</v>
      </c>
      <c r="P357" t="s">
        <v>28</v>
      </c>
      <c r="Q357" t="s">
        <v>47</v>
      </c>
      <c r="R357">
        <v>9.9</v>
      </c>
      <c r="S357">
        <v>61.9</v>
      </c>
      <c r="T357">
        <v>9.8000000000000007</v>
      </c>
      <c r="U357">
        <v>405</v>
      </c>
      <c r="V357">
        <v>2</v>
      </c>
    </row>
    <row r="358" spans="1:22" x14ac:dyDescent="0.35">
      <c r="A358" t="s">
        <v>757</v>
      </c>
      <c r="B358" t="s">
        <v>758</v>
      </c>
      <c r="C358" t="s">
        <v>62</v>
      </c>
      <c r="D358" t="s">
        <v>40</v>
      </c>
      <c r="E358">
        <v>2027</v>
      </c>
      <c r="F358">
        <v>217.3</v>
      </c>
      <c r="G358">
        <v>15.1</v>
      </c>
      <c r="H358">
        <v>550.79999999999995</v>
      </c>
      <c r="I358">
        <v>98.4</v>
      </c>
      <c r="J358">
        <v>7.3</v>
      </c>
      <c r="K358">
        <v>127.21</v>
      </c>
      <c r="L358">
        <v>25</v>
      </c>
      <c r="M358" t="s">
        <v>26</v>
      </c>
      <c r="N358" t="s">
        <v>27</v>
      </c>
      <c r="O358" t="s">
        <v>27</v>
      </c>
      <c r="P358" t="s">
        <v>35</v>
      </c>
      <c r="Q358" t="s">
        <v>47</v>
      </c>
      <c r="R358">
        <v>17.100000000000001</v>
      </c>
      <c r="S358">
        <v>1102.9000000000001</v>
      </c>
      <c r="T358">
        <v>6</v>
      </c>
      <c r="U358">
        <v>130</v>
      </c>
      <c r="V358">
        <v>8</v>
      </c>
    </row>
    <row r="359" spans="1:22" x14ac:dyDescent="0.35">
      <c r="A359" t="s">
        <v>759</v>
      </c>
      <c r="B359" t="s">
        <v>760</v>
      </c>
      <c r="C359" t="s">
        <v>120</v>
      </c>
      <c r="D359" t="s">
        <v>57</v>
      </c>
      <c r="E359">
        <v>2033</v>
      </c>
      <c r="F359">
        <v>232</v>
      </c>
      <c r="G359">
        <v>74.8</v>
      </c>
      <c r="H359">
        <v>2049.1</v>
      </c>
      <c r="I359">
        <v>218.5</v>
      </c>
      <c r="J359">
        <v>96.9</v>
      </c>
      <c r="K359">
        <v>1031.4100000000001</v>
      </c>
      <c r="L359">
        <v>18</v>
      </c>
      <c r="M359" t="s">
        <v>34</v>
      </c>
      <c r="N359" t="s">
        <v>27</v>
      </c>
      <c r="O359" t="s">
        <v>26</v>
      </c>
      <c r="P359" t="s">
        <v>52</v>
      </c>
      <c r="Q359" t="s">
        <v>65</v>
      </c>
      <c r="R359">
        <v>6.2</v>
      </c>
      <c r="S359">
        <v>-714.7</v>
      </c>
      <c r="T359">
        <v>16.8</v>
      </c>
      <c r="U359">
        <v>252</v>
      </c>
      <c r="V359">
        <v>8</v>
      </c>
    </row>
    <row r="360" spans="1:22" x14ac:dyDescent="0.35">
      <c r="A360" t="s">
        <v>761</v>
      </c>
      <c r="B360" t="s">
        <v>762</v>
      </c>
      <c r="C360" t="s">
        <v>62</v>
      </c>
      <c r="D360" t="s">
        <v>57</v>
      </c>
      <c r="E360">
        <v>2030</v>
      </c>
      <c r="F360">
        <v>30.9</v>
      </c>
      <c r="G360">
        <v>15.4</v>
      </c>
      <c r="H360">
        <v>179.3</v>
      </c>
      <c r="I360">
        <v>27.1</v>
      </c>
      <c r="J360">
        <v>5</v>
      </c>
      <c r="K360">
        <v>13.82</v>
      </c>
      <c r="L360">
        <v>26</v>
      </c>
      <c r="M360" t="s">
        <v>27</v>
      </c>
      <c r="N360" t="s">
        <v>27</v>
      </c>
      <c r="O360" t="s">
        <v>27</v>
      </c>
      <c r="P360" t="s">
        <v>35</v>
      </c>
      <c r="Q360" t="s">
        <v>47</v>
      </c>
      <c r="R360">
        <v>13.2</v>
      </c>
      <c r="S360">
        <v>166.8</v>
      </c>
      <c r="T360">
        <v>8.1</v>
      </c>
      <c r="U360">
        <v>47</v>
      </c>
      <c r="V360">
        <v>3</v>
      </c>
    </row>
    <row r="361" spans="1:22" x14ac:dyDescent="0.35">
      <c r="A361" t="s">
        <v>763</v>
      </c>
      <c r="B361" t="s">
        <v>764</v>
      </c>
      <c r="C361" t="s">
        <v>43</v>
      </c>
      <c r="D361" t="s">
        <v>25</v>
      </c>
      <c r="E361">
        <v>2029</v>
      </c>
      <c r="F361">
        <v>465.6</v>
      </c>
      <c r="G361">
        <v>10.199999999999999</v>
      </c>
      <c r="H361">
        <v>419.4</v>
      </c>
      <c r="I361">
        <v>47.1</v>
      </c>
      <c r="J361">
        <v>9.3000000000000007</v>
      </c>
      <c r="K361">
        <v>67.63</v>
      </c>
      <c r="L361">
        <v>20</v>
      </c>
      <c r="M361" t="s">
        <v>34</v>
      </c>
      <c r="N361" t="s">
        <v>27</v>
      </c>
      <c r="O361" t="s">
        <v>34</v>
      </c>
      <c r="P361" t="s">
        <v>35</v>
      </c>
      <c r="Q361" t="s">
        <v>36</v>
      </c>
      <c r="R361">
        <v>9.1999999999999993</v>
      </c>
      <c r="S361">
        <v>60.9</v>
      </c>
      <c r="T361">
        <v>11.1</v>
      </c>
      <c r="U361">
        <v>352</v>
      </c>
      <c r="V361">
        <v>8</v>
      </c>
    </row>
    <row r="362" spans="1:22" x14ac:dyDescent="0.35">
      <c r="A362" t="s">
        <v>765</v>
      </c>
      <c r="B362" t="s">
        <v>766</v>
      </c>
      <c r="C362" t="s">
        <v>32</v>
      </c>
      <c r="D362" t="s">
        <v>33</v>
      </c>
      <c r="E362">
        <v>2027</v>
      </c>
      <c r="F362">
        <v>5.5</v>
      </c>
      <c r="G362">
        <v>72.599999999999994</v>
      </c>
      <c r="H362">
        <v>1235.2</v>
      </c>
      <c r="I362">
        <v>31</v>
      </c>
      <c r="J362">
        <v>69.3</v>
      </c>
      <c r="K362">
        <v>19.399999999999999</v>
      </c>
      <c r="L362">
        <v>26</v>
      </c>
      <c r="M362" t="s">
        <v>26</v>
      </c>
      <c r="N362" t="s">
        <v>27</v>
      </c>
      <c r="O362" t="s">
        <v>27</v>
      </c>
      <c r="P362" t="s">
        <v>52</v>
      </c>
      <c r="Q362" t="s">
        <v>65</v>
      </c>
      <c r="R362">
        <v>-3</v>
      </c>
      <c r="S362">
        <v>-1974.2</v>
      </c>
      <c r="T362">
        <v>55</v>
      </c>
      <c r="U362">
        <v>10</v>
      </c>
      <c r="V362">
        <v>8</v>
      </c>
    </row>
    <row r="363" spans="1:22" x14ac:dyDescent="0.35">
      <c r="A363" t="s">
        <v>767</v>
      </c>
      <c r="B363" t="s">
        <v>768</v>
      </c>
      <c r="C363" t="s">
        <v>39</v>
      </c>
      <c r="D363" t="s">
        <v>78</v>
      </c>
      <c r="E363">
        <v>2035</v>
      </c>
      <c r="F363">
        <v>850.6</v>
      </c>
      <c r="G363">
        <v>42</v>
      </c>
      <c r="H363">
        <v>205.1</v>
      </c>
      <c r="I363">
        <v>10.7</v>
      </c>
      <c r="J363">
        <v>7.1</v>
      </c>
      <c r="K363">
        <v>190.91</v>
      </c>
      <c r="L363">
        <v>38</v>
      </c>
      <c r="M363" t="s">
        <v>26</v>
      </c>
      <c r="N363" t="s">
        <v>34</v>
      </c>
      <c r="O363" t="s">
        <v>27</v>
      </c>
      <c r="P363" t="s">
        <v>52</v>
      </c>
      <c r="Q363" t="s">
        <v>36</v>
      </c>
      <c r="R363">
        <v>2.5</v>
      </c>
      <c r="S363">
        <v>-109</v>
      </c>
      <c r="T363">
        <v>58.4</v>
      </c>
      <c r="U363">
        <v>819</v>
      </c>
      <c r="V363">
        <v>3</v>
      </c>
    </row>
    <row r="364" spans="1:22" x14ac:dyDescent="0.35">
      <c r="A364" t="s">
        <v>769</v>
      </c>
      <c r="B364" t="s">
        <v>770</v>
      </c>
      <c r="C364" t="s">
        <v>62</v>
      </c>
      <c r="D364" t="s">
        <v>57</v>
      </c>
      <c r="E364">
        <v>2032</v>
      </c>
      <c r="F364">
        <v>343.9</v>
      </c>
      <c r="G364">
        <v>12.5</v>
      </c>
      <c r="H364">
        <v>308.10000000000002</v>
      </c>
      <c r="I364">
        <v>49.6</v>
      </c>
      <c r="J364">
        <v>5.8</v>
      </c>
      <c r="K364">
        <v>120.02</v>
      </c>
      <c r="L364">
        <v>30</v>
      </c>
      <c r="M364" t="s">
        <v>27</v>
      </c>
      <c r="N364" t="s">
        <v>27</v>
      </c>
      <c r="O364" t="s">
        <v>27</v>
      </c>
      <c r="P364" t="s">
        <v>35</v>
      </c>
      <c r="Q364" t="s">
        <v>47</v>
      </c>
      <c r="R364">
        <v>14.7</v>
      </c>
      <c r="S364">
        <v>553.9</v>
      </c>
      <c r="T364">
        <v>7</v>
      </c>
      <c r="U364">
        <v>335</v>
      </c>
      <c r="V364">
        <v>10</v>
      </c>
    </row>
    <row r="365" spans="1:22" x14ac:dyDescent="0.35">
      <c r="A365" t="s">
        <v>771</v>
      </c>
      <c r="B365" t="s">
        <v>772</v>
      </c>
      <c r="C365" t="s">
        <v>62</v>
      </c>
      <c r="D365" t="s">
        <v>40</v>
      </c>
      <c r="E365">
        <v>2031</v>
      </c>
      <c r="F365">
        <v>66.099999999999994</v>
      </c>
      <c r="G365">
        <v>14.2</v>
      </c>
      <c r="H365">
        <v>360.7</v>
      </c>
      <c r="I365">
        <v>20.3</v>
      </c>
      <c r="J365">
        <v>9.4</v>
      </c>
      <c r="K365">
        <v>47.81</v>
      </c>
      <c r="L365">
        <v>28</v>
      </c>
      <c r="M365" t="s">
        <v>27</v>
      </c>
      <c r="N365" t="s">
        <v>26</v>
      </c>
      <c r="O365" t="s">
        <v>26</v>
      </c>
      <c r="P365" t="s">
        <v>35</v>
      </c>
      <c r="Q365" t="s">
        <v>36</v>
      </c>
      <c r="R365">
        <v>4</v>
      </c>
      <c r="S365">
        <v>-136.19999999999999</v>
      </c>
      <c r="T365">
        <v>33.200000000000003</v>
      </c>
      <c r="U365">
        <v>30</v>
      </c>
      <c r="V365">
        <v>6</v>
      </c>
    </row>
    <row r="366" spans="1:22" x14ac:dyDescent="0.35">
      <c r="A366" t="s">
        <v>773</v>
      </c>
      <c r="B366" t="s">
        <v>774</v>
      </c>
      <c r="C366" t="s">
        <v>24</v>
      </c>
      <c r="D366" t="s">
        <v>33</v>
      </c>
      <c r="E366">
        <v>2032</v>
      </c>
      <c r="F366">
        <v>530.6</v>
      </c>
      <c r="G366">
        <v>49.1</v>
      </c>
      <c r="H366">
        <v>2118.1</v>
      </c>
      <c r="I366">
        <v>57.6</v>
      </c>
      <c r="J366">
        <v>65.7</v>
      </c>
      <c r="K366">
        <v>1308.33</v>
      </c>
      <c r="L366">
        <v>26</v>
      </c>
      <c r="M366" t="s">
        <v>34</v>
      </c>
      <c r="N366" t="s">
        <v>26</v>
      </c>
      <c r="O366" t="s">
        <v>27</v>
      </c>
      <c r="P366" t="s">
        <v>35</v>
      </c>
      <c r="Q366" t="s">
        <v>65</v>
      </c>
      <c r="R366">
        <v>-0.5</v>
      </c>
      <c r="S366">
        <v>-2263.8000000000002</v>
      </c>
      <c r="T366">
        <v>45.7</v>
      </c>
      <c r="U366">
        <v>649</v>
      </c>
      <c r="V366">
        <v>6</v>
      </c>
    </row>
    <row r="367" spans="1:22" x14ac:dyDescent="0.35">
      <c r="A367" t="s">
        <v>775</v>
      </c>
      <c r="B367" t="s">
        <v>776</v>
      </c>
      <c r="C367" t="s">
        <v>24</v>
      </c>
      <c r="D367" t="s">
        <v>57</v>
      </c>
      <c r="E367">
        <v>2033</v>
      </c>
      <c r="F367">
        <v>1271.3</v>
      </c>
      <c r="G367">
        <v>54.7</v>
      </c>
      <c r="H367">
        <v>1531.9</v>
      </c>
      <c r="I367">
        <v>186.2</v>
      </c>
      <c r="J367">
        <v>58.9</v>
      </c>
      <c r="K367">
        <v>2403.29</v>
      </c>
      <c r="L367">
        <v>30</v>
      </c>
      <c r="M367" t="s">
        <v>27</v>
      </c>
      <c r="N367" t="s">
        <v>27</v>
      </c>
      <c r="O367" t="s">
        <v>27</v>
      </c>
      <c r="P367" t="s">
        <v>52</v>
      </c>
      <c r="Q367" t="s">
        <v>47</v>
      </c>
      <c r="R367">
        <v>8.6999999999999993</v>
      </c>
      <c r="S367">
        <v>688.6</v>
      </c>
      <c r="T367">
        <v>12</v>
      </c>
      <c r="U367">
        <v>961</v>
      </c>
      <c r="V367">
        <v>9</v>
      </c>
    </row>
    <row r="368" spans="1:22" x14ac:dyDescent="0.35">
      <c r="A368" t="s">
        <v>777</v>
      </c>
      <c r="B368" t="s">
        <v>778</v>
      </c>
      <c r="C368" t="s">
        <v>120</v>
      </c>
      <c r="D368" t="s">
        <v>46</v>
      </c>
      <c r="E368">
        <v>2034</v>
      </c>
      <c r="F368">
        <v>277</v>
      </c>
      <c r="G368">
        <v>70.400000000000006</v>
      </c>
      <c r="H368">
        <v>595.5</v>
      </c>
      <c r="I368">
        <v>2</v>
      </c>
      <c r="J368">
        <v>42.2</v>
      </c>
      <c r="K368">
        <v>956.36</v>
      </c>
      <c r="L368">
        <v>24</v>
      </c>
      <c r="M368" t="s">
        <v>34</v>
      </c>
      <c r="N368" t="s">
        <v>26</v>
      </c>
      <c r="O368" t="s">
        <v>27</v>
      </c>
      <c r="P368" t="s">
        <v>52</v>
      </c>
      <c r="Q368" t="s">
        <v>65</v>
      </c>
      <c r="R368">
        <v>-7.8</v>
      </c>
      <c r="S368">
        <v>-1350.8</v>
      </c>
      <c r="T368">
        <v>38.4</v>
      </c>
      <c r="U368">
        <v>235</v>
      </c>
      <c r="V368">
        <v>7</v>
      </c>
    </row>
    <row r="369" spans="1:22" x14ac:dyDescent="0.35">
      <c r="A369" t="s">
        <v>779</v>
      </c>
      <c r="B369" t="s">
        <v>780</v>
      </c>
      <c r="C369" t="s">
        <v>97</v>
      </c>
      <c r="D369" t="s">
        <v>78</v>
      </c>
      <c r="E369">
        <v>2033</v>
      </c>
      <c r="F369">
        <v>57.1</v>
      </c>
      <c r="G369">
        <v>52.4</v>
      </c>
      <c r="H369">
        <v>349.9</v>
      </c>
      <c r="I369">
        <v>33.799999999999997</v>
      </c>
      <c r="J369">
        <v>6.3</v>
      </c>
      <c r="K369">
        <v>64.37</v>
      </c>
      <c r="L369">
        <v>17</v>
      </c>
      <c r="M369" t="s">
        <v>26</v>
      </c>
      <c r="N369" t="s">
        <v>27</v>
      </c>
      <c r="O369" t="s">
        <v>34</v>
      </c>
      <c r="P369" t="s">
        <v>35</v>
      </c>
      <c r="Q369" t="s">
        <v>65</v>
      </c>
      <c r="R369">
        <v>7.2</v>
      </c>
      <c r="S369">
        <v>-36.5</v>
      </c>
      <c r="T369">
        <v>12.7</v>
      </c>
      <c r="U369">
        <v>21</v>
      </c>
      <c r="V369">
        <v>5</v>
      </c>
    </row>
    <row r="370" spans="1:22" x14ac:dyDescent="0.35">
      <c r="A370" t="s">
        <v>781</v>
      </c>
      <c r="B370" t="s">
        <v>782</v>
      </c>
      <c r="C370" t="s">
        <v>24</v>
      </c>
      <c r="D370" t="s">
        <v>57</v>
      </c>
      <c r="E370">
        <v>2034</v>
      </c>
      <c r="F370">
        <v>969.7</v>
      </c>
      <c r="G370">
        <v>52.6</v>
      </c>
      <c r="H370">
        <v>2627.6</v>
      </c>
      <c r="I370">
        <v>238.8</v>
      </c>
      <c r="J370">
        <v>96.2</v>
      </c>
      <c r="K370">
        <v>2244.84</v>
      </c>
      <c r="L370">
        <v>26</v>
      </c>
      <c r="M370" t="s">
        <v>27</v>
      </c>
      <c r="N370" t="s">
        <v>26</v>
      </c>
      <c r="O370" t="s">
        <v>26</v>
      </c>
      <c r="P370" t="s">
        <v>52</v>
      </c>
      <c r="Q370" t="s">
        <v>29</v>
      </c>
      <c r="R370">
        <v>6.2</v>
      </c>
      <c r="S370">
        <v>210.6</v>
      </c>
      <c r="T370">
        <v>18.399999999999999</v>
      </c>
      <c r="U370">
        <v>831</v>
      </c>
      <c r="V370">
        <v>4</v>
      </c>
    </row>
    <row r="371" spans="1:22" x14ac:dyDescent="0.35">
      <c r="A371" t="s">
        <v>783</v>
      </c>
      <c r="B371" t="s">
        <v>784</v>
      </c>
      <c r="C371" t="s">
        <v>24</v>
      </c>
      <c r="D371" t="s">
        <v>33</v>
      </c>
      <c r="E371">
        <v>2029</v>
      </c>
      <c r="F371">
        <v>851</v>
      </c>
      <c r="G371">
        <v>38.9</v>
      </c>
      <c r="H371">
        <v>3010.9</v>
      </c>
      <c r="I371">
        <v>168.5</v>
      </c>
      <c r="J371">
        <v>84.9</v>
      </c>
      <c r="K371">
        <v>1082.4000000000001</v>
      </c>
      <c r="L371">
        <v>27</v>
      </c>
      <c r="M371" t="s">
        <v>27</v>
      </c>
      <c r="N371" t="s">
        <v>26</v>
      </c>
      <c r="O371" t="s">
        <v>26</v>
      </c>
      <c r="P371" t="s">
        <v>35</v>
      </c>
      <c r="Q371" t="s">
        <v>36</v>
      </c>
      <c r="R371">
        <v>2.4</v>
      </c>
      <c r="S371">
        <v>-1254.3</v>
      </c>
      <c r="T371">
        <v>36</v>
      </c>
      <c r="U371">
        <v>715</v>
      </c>
      <c r="V371">
        <v>9</v>
      </c>
    </row>
    <row r="372" spans="1:22" x14ac:dyDescent="0.35">
      <c r="A372" t="s">
        <v>785</v>
      </c>
      <c r="B372" t="s">
        <v>786</v>
      </c>
      <c r="C372" t="s">
        <v>120</v>
      </c>
      <c r="D372" t="s">
        <v>46</v>
      </c>
      <c r="E372">
        <v>2035</v>
      </c>
      <c r="F372">
        <v>644.79999999999995</v>
      </c>
      <c r="G372">
        <v>59.4</v>
      </c>
      <c r="H372">
        <v>1297.0999999999999</v>
      </c>
      <c r="I372">
        <v>249.8</v>
      </c>
      <c r="J372">
        <v>86</v>
      </c>
      <c r="K372">
        <v>1266.5899999999999</v>
      </c>
      <c r="L372">
        <v>20</v>
      </c>
      <c r="M372" t="s">
        <v>26</v>
      </c>
      <c r="N372" t="s">
        <v>26</v>
      </c>
      <c r="O372" t="s">
        <v>27</v>
      </c>
      <c r="P372" t="s">
        <v>35</v>
      </c>
      <c r="Q372" t="s">
        <v>36</v>
      </c>
      <c r="R372">
        <v>13</v>
      </c>
      <c r="S372">
        <v>1168.5999999999999</v>
      </c>
      <c r="T372">
        <v>7.9</v>
      </c>
      <c r="U372">
        <v>756</v>
      </c>
      <c r="V372">
        <v>8</v>
      </c>
    </row>
    <row r="373" spans="1:22" x14ac:dyDescent="0.35">
      <c r="A373" t="s">
        <v>787</v>
      </c>
      <c r="B373" t="s">
        <v>788</v>
      </c>
      <c r="C373" t="s">
        <v>43</v>
      </c>
      <c r="D373" t="s">
        <v>46</v>
      </c>
      <c r="E373">
        <v>2031</v>
      </c>
      <c r="F373">
        <v>473.6</v>
      </c>
      <c r="G373">
        <v>29.2</v>
      </c>
      <c r="H373">
        <v>195.6</v>
      </c>
      <c r="I373">
        <v>13.6</v>
      </c>
      <c r="J373">
        <v>6.5</v>
      </c>
      <c r="K373">
        <v>209.29</v>
      </c>
      <c r="L373">
        <v>19</v>
      </c>
      <c r="M373" t="s">
        <v>34</v>
      </c>
      <c r="N373" t="s">
        <v>27</v>
      </c>
      <c r="O373" t="s">
        <v>27</v>
      </c>
      <c r="P373" t="s">
        <v>52</v>
      </c>
      <c r="Q373" t="s">
        <v>47</v>
      </c>
      <c r="R373">
        <v>2.8</v>
      </c>
      <c r="S373">
        <v>-98.3</v>
      </c>
      <c r="T373">
        <v>27.8</v>
      </c>
      <c r="U373">
        <v>558</v>
      </c>
      <c r="V373">
        <v>9</v>
      </c>
    </row>
    <row r="374" spans="1:22" x14ac:dyDescent="0.35">
      <c r="A374" t="s">
        <v>789</v>
      </c>
      <c r="B374" t="s">
        <v>790</v>
      </c>
      <c r="C374" t="s">
        <v>32</v>
      </c>
      <c r="D374" t="s">
        <v>25</v>
      </c>
      <c r="E374">
        <v>2030</v>
      </c>
      <c r="F374">
        <v>7.8</v>
      </c>
      <c r="G374">
        <v>63.8</v>
      </c>
      <c r="H374">
        <v>964.8</v>
      </c>
      <c r="I374">
        <v>2</v>
      </c>
      <c r="J374">
        <v>71.599999999999994</v>
      </c>
      <c r="K374">
        <v>21.63</v>
      </c>
      <c r="L374">
        <v>25</v>
      </c>
      <c r="M374" t="s">
        <v>27</v>
      </c>
      <c r="N374" t="s">
        <v>26</v>
      </c>
      <c r="O374" t="s">
        <v>26</v>
      </c>
      <c r="P374" t="s">
        <v>28</v>
      </c>
      <c r="Q374" t="s">
        <v>47</v>
      </c>
      <c r="R374">
        <v>-7.8</v>
      </c>
      <c r="S374">
        <v>-2458.4</v>
      </c>
      <c r="T374">
        <v>34.9</v>
      </c>
      <c r="U374">
        <v>10</v>
      </c>
      <c r="V374">
        <v>3</v>
      </c>
    </row>
    <row r="375" spans="1:22" x14ac:dyDescent="0.35">
      <c r="A375" t="s">
        <v>791</v>
      </c>
      <c r="B375" t="s">
        <v>792</v>
      </c>
      <c r="C375" t="s">
        <v>39</v>
      </c>
      <c r="D375" t="s">
        <v>40</v>
      </c>
      <c r="E375">
        <v>2033</v>
      </c>
      <c r="F375">
        <v>864.9</v>
      </c>
      <c r="G375">
        <v>71.2</v>
      </c>
      <c r="H375">
        <v>1393.5</v>
      </c>
      <c r="I375">
        <v>82.7</v>
      </c>
      <c r="J375">
        <v>37.5</v>
      </c>
      <c r="K375">
        <v>622.79999999999995</v>
      </c>
      <c r="L375">
        <v>20</v>
      </c>
      <c r="M375" t="s">
        <v>27</v>
      </c>
      <c r="N375" t="s">
        <v>27</v>
      </c>
      <c r="O375" t="s">
        <v>27</v>
      </c>
      <c r="P375" t="s">
        <v>35</v>
      </c>
      <c r="Q375" t="s">
        <v>29</v>
      </c>
      <c r="R375">
        <v>2.7</v>
      </c>
      <c r="S375">
        <v>-798.5</v>
      </c>
      <c r="T375">
        <v>30.8</v>
      </c>
      <c r="U375">
        <v>986</v>
      </c>
      <c r="V375">
        <v>7</v>
      </c>
    </row>
    <row r="376" spans="1:22" x14ac:dyDescent="0.35">
      <c r="A376" t="s">
        <v>793</v>
      </c>
      <c r="B376" t="s">
        <v>794</v>
      </c>
      <c r="C376" t="s">
        <v>97</v>
      </c>
      <c r="D376" t="s">
        <v>78</v>
      </c>
      <c r="E376">
        <v>2031</v>
      </c>
      <c r="F376">
        <v>145.80000000000001</v>
      </c>
      <c r="G376">
        <v>35.6</v>
      </c>
      <c r="H376">
        <v>384.7</v>
      </c>
      <c r="I376">
        <v>55</v>
      </c>
      <c r="J376">
        <v>7.1</v>
      </c>
      <c r="K376">
        <v>86.73</v>
      </c>
      <c r="L376">
        <v>19</v>
      </c>
      <c r="M376" t="s">
        <v>34</v>
      </c>
      <c r="N376" t="s">
        <v>27</v>
      </c>
      <c r="O376" t="s">
        <v>26</v>
      </c>
      <c r="P376" t="s">
        <v>35</v>
      </c>
      <c r="Q376" t="s">
        <v>65</v>
      </c>
      <c r="R376">
        <v>12.9</v>
      </c>
      <c r="S376">
        <v>281.39999999999998</v>
      </c>
      <c r="T376">
        <v>8</v>
      </c>
      <c r="U376">
        <v>102</v>
      </c>
      <c r="V376">
        <v>6</v>
      </c>
    </row>
    <row r="377" spans="1:22" x14ac:dyDescent="0.35">
      <c r="A377" t="s">
        <v>795</v>
      </c>
      <c r="B377" t="s">
        <v>796</v>
      </c>
      <c r="C377" t="s">
        <v>32</v>
      </c>
      <c r="D377" t="s">
        <v>46</v>
      </c>
      <c r="E377">
        <v>2033</v>
      </c>
      <c r="F377">
        <v>5.6</v>
      </c>
      <c r="G377">
        <v>61.8</v>
      </c>
      <c r="H377">
        <v>1375.2</v>
      </c>
      <c r="I377">
        <v>2</v>
      </c>
      <c r="J377">
        <v>79.599999999999994</v>
      </c>
      <c r="K377">
        <v>15.68</v>
      </c>
      <c r="L377">
        <v>21</v>
      </c>
      <c r="M377" t="s">
        <v>26</v>
      </c>
      <c r="N377" t="s">
        <v>26</v>
      </c>
      <c r="O377" t="s">
        <v>34</v>
      </c>
      <c r="P377" t="s">
        <v>35</v>
      </c>
      <c r="Q377" t="s">
        <v>36</v>
      </c>
      <c r="R377">
        <v>-7</v>
      </c>
      <c r="S377">
        <v>-2695.3</v>
      </c>
      <c r="T377">
        <v>43.2</v>
      </c>
      <c r="U377">
        <v>10</v>
      </c>
      <c r="V377">
        <v>5</v>
      </c>
    </row>
    <row r="378" spans="1:22" x14ac:dyDescent="0.35">
      <c r="A378" t="s">
        <v>797</v>
      </c>
      <c r="B378" t="s">
        <v>798</v>
      </c>
      <c r="C378" t="s">
        <v>43</v>
      </c>
      <c r="D378" t="s">
        <v>57</v>
      </c>
      <c r="E378">
        <v>2031</v>
      </c>
      <c r="F378">
        <v>364.9</v>
      </c>
      <c r="G378">
        <v>33</v>
      </c>
      <c r="H378">
        <v>495.1</v>
      </c>
      <c r="I378">
        <v>99.5</v>
      </c>
      <c r="J378">
        <v>13</v>
      </c>
      <c r="K378">
        <v>278.33</v>
      </c>
      <c r="L378">
        <v>15</v>
      </c>
      <c r="M378" t="s">
        <v>34</v>
      </c>
      <c r="N378" t="s">
        <v>26</v>
      </c>
      <c r="O378" t="s">
        <v>27</v>
      </c>
      <c r="P378" t="s">
        <v>52</v>
      </c>
      <c r="Q378" t="s">
        <v>65</v>
      </c>
      <c r="R378">
        <v>18.100000000000001</v>
      </c>
      <c r="S378">
        <v>475.7</v>
      </c>
      <c r="T378">
        <v>5.7</v>
      </c>
      <c r="U378">
        <v>191</v>
      </c>
      <c r="V378">
        <v>9</v>
      </c>
    </row>
    <row r="379" spans="1:22" x14ac:dyDescent="0.35">
      <c r="A379" t="s">
        <v>799</v>
      </c>
      <c r="B379" t="s">
        <v>800</v>
      </c>
      <c r="C379" t="s">
        <v>24</v>
      </c>
      <c r="D379" t="s">
        <v>78</v>
      </c>
      <c r="E379">
        <v>2035</v>
      </c>
      <c r="F379">
        <v>811.3</v>
      </c>
      <c r="G379">
        <v>54.2</v>
      </c>
      <c r="H379">
        <v>2961.1</v>
      </c>
      <c r="I379">
        <v>300.5</v>
      </c>
      <c r="J379">
        <v>96</v>
      </c>
      <c r="K379">
        <v>751.41</v>
      </c>
      <c r="L379">
        <v>29</v>
      </c>
      <c r="M379" t="s">
        <v>27</v>
      </c>
      <c r="N379" t="s">
        <v>27</v>
      </c>
      <c r="O379" t="s">
        <v>27</v>
      </c>
      <c r="P379" t="s">
        <v>28</v>
      </c>
      <c r="Q379" t="s">
        <v>29</v>
      </c>
      <c r="R379">
        <v>5.7</v>
      </c>
      <c r="S379">
        <v>1353.1</v>
      </c>
      <c r="T379">
        <v>14.5</v>
      </c>
      <c r="U379">
        <v>596</v>
      </c>
      <c r="V379">
        <v>3</v>
      </c>
    </row>
    <row r="380" spans="1:22" x14ac:dyDescent="0.35">
      <c r="A380" t="s">
        <v>801</v>
      </c>
      <c r="B380" t="s">
        <v>802</v>
      </c>
      <c r="C380" t="s">
        <v>24</v>
      </c>
      <c r="D380" t="s">
        <v>57</v>
      </c>
      <c r="E380">
        <v>2032</v>
      </c>
      <c r="F380">
        <v>253.2</v>
      </c>
      <c r="G380">
        <v>43</v>
      </c>
      <c r="H380">
        <v>1042.5</v>
      </c>
      <c r="I380">
        <v>107.5</v>
      </c>
      <c r="J380">
        <v>34.200000000000003</v>
      </c>
      <c r="K380">
        <v>320.45999999999998</v>
      </c>
      <c r="L380">
        <v>30</v>
      </c>
      <c r="M380" t="s">
        <v>26</v>
      </c>
      <c r="N380" t="s">
        <v>26</v>
      </c>
      <c r="O380" t="s">
        <v>34</v>
      </c>
      <c r="P380" t="s">
        <v>52</v>
      </c>
      <c r="Q380" t="s">
        <v>36</v>
      </c>
      <c r="R380">
        <v>7.6</v>
      </c>
      <c r="S380">
        <v>292.3</v>
      </c>
      <c r="T380">
        <v>14.2</v>
      </c>
      <c r="U380">
        <v>202</v>
      </c>
      <c r="V380">
        <v>8</v>
      </c>
    </row>
    <row r="381" spans="1:22" x14ac:dyDescent="0.35">
      <c r="A381" t="s">
        <v>803</v>
      </c>
      <c r="B381" t="s">
        <v>804</v>
      </c>
      <c r="C381" t="s">
        <v>43</v>
      </c>
      <c r="D381" t="s">
        <v>78</v>
      </c>
      <c r="E381">
        <v>2032</v>
      </c>
      <c r="F381">
        <v>20.6</v>
      </c>
      <c r="G381">
        <v>25.2</v>
      </c>
      <c r="H381">
        <v>808.2</v>
      </c>
      <c r="I381">
        <v>124.1</v>
      </c>
      <c r="J381">
        <v>45.4</v>
      </c>
      <c r="K381">
        <v>6.46</v>
      </c>
      <c r="L381">
        <v>16</v>
      </c>
      <c r="M381" t="s">
        <v>27</v>
      </c>
      <c r="N381" t="s">
        <v>27</v>
      </c>
      <c r="O381" t="s">
        <v>34</v>
      </c>
      <c r="P381" t="s">
        <v>52</v>
      </c>
      <c r="Q381" t="s">
        <v>29</v>
      </c>
      <c r="R381">
        <v>9.3000000000000007</v>
      </c>
      <c r="S381">
        <v>48.2</v>
      </c>
      <c r="T381">
        <v>10.3</v>
      </c>
      <c r="U381">
        <v>14</v>
      </c>
      <c r="V381">
        <v>7</v>
      </c>
    </row>
    <row r="382" spans="1:22" x14ac:dyDescent="0.35">
      <c r="A382" t="s">
        <v>805</v>
      </c>
      <c r="B382" t="s">
        <v>806</v>
      </c>
      <c r="C382" t="s">
        <v>39</v>
      </c>
      <c r="D382" t="s">
        <v>78</v>
      </c>
      <c r="E382">
        <v>2034</v>
      </c>
      <c r="F382">
        <v>762.7</v>
      </c>
      <c r="G382">
        <v>48.1</v>
      </c>
      <c r="H382">
        <v>953.4</v>
      </c>
      <c r="I382">
        <v>96.9</v>
      </c>
      <c r="J382">
        <v>52.4</v>
      </c>
      <c r="K382">
        <v>315.08</v>
      </c>
      <c r="L382">
        <v>30</v>
      </c>
      <c r="M382" t="s">
        <v>27</v>
      </c>
      <c r="N382" t="s">
        <v>27</v>
      </c>
      <c r="O382" t="s">
        <v>27</v>
      </c>
      <c r="P382" t="s">
        <v>35</v>
      </c>
      <c r="Q382" t="s">
        <v>36</v>
      </c>
      <c r="R382">
        <v>5.4</v>
      </c>
      <c r="S382">
        <v>-48.7</v>
      </c>
      <c r="T382">
        <v>21.4</v>
      </c>
      <c r="U382">
        <v>733</v>
      </c>
      <c r="V382">
        <v>2</v>
      </c>
    </row>
    <row r="383" spans="1:22" x14ac:dyDescent="0.35">
      <c r="A383" t="s">
        <v>807</v>
      </c>
      <c r="B383" t="s">
        <v>808</v>
      </c>
      <c r="C383" t="s">
        <v>39</v>
      </c>
      <c r="D383" t="s">
        <v>33</v>
      </c>
      <c r="E383">
        <v>2031</v>
      </c>
      <c r="F383">
        <v>672.6</v>
      </c>
      <c r="G383">
        <v>36.799999999999997</v>
      </c>
      <c r="H383">
        <v>1144.5</v>
      </c>
      <c r="I383">
        <v>225.1</v>
      </c>
      <c r="J383">
        <v>60.1</v>
      </c>
      <c r="K383">
        <v>222.16</v>
      </c>
      <c r="L383">
        <v>40</v>
      </c>
      <c r="M383" t="s">
        <v>27</v>
      </c>
      <c r="N383" t="s">
        <v>26</v>
      </c>
      <c r="O383" t="s">
        <v>26</v>
      </c>
      <c r="P383" t="s">
        <v>28</v>
      </c>
      <c r="Q383" t="s">
        <v>47</v>
      </c>
      <c r="R383">
        <v>13.4</v>
      </c>
      <c r="S383">
        <v>2888.6</v>
      </c>
      <c r="T383">
        <v>6.9</v>
      </c>
      <c r="U383">
        <v>1011</v>
      </c>
      <c r="V383">
        <v>2</v>
      </c>
    </row>
    <row r="384" spans="1:22" x14ac:dyDescent="0.35">
      <c r="A384" t="s">
        <v>809</v>
      </c>
      <c r="B384" t="s">
        <v>810</v>
      </c>
      <c r="C384" t="s">
        <v>32</v>
      </c>
      <c r="D384" t="s">
        <v>33</v>
      </c>
      <c r="E384">
        <v>2031</v>
      </c>
      <c r="F384">
        <v>3</v>
      </c>
      <c r="G384">
        <v>69</v>
      </c>
      <c r="H384">
        <v>2724.8</v>
      </c>
      <c r="I384">
        <v>339.9</v>
      </c>
      <c r="J384">
        <v>178.2</v>
      </c>
      <c r="K384">
        <v>7.09</v>
      </c>
      <c r="L384">
        <v>25</v>
      </c>
      <c r="M384" t="s">
        <v>27</v>
      </c>
      <c r="N384" t="s">
        <v>34</v>
      </c>
      <c r="O384" t="s">
        <v>26</v>
      </c>
      <c r="P384" t="s">
        <v>35</v>
      </c>
      <c r="Q384" t="s">
        <v>36</v>
      </c>
      <c r="R384">
        <v>5.2</v>
      </c>
      <c r="S384">
        <v>282.39999999999998</v>
      </c>
      <c r="T384">
        <v>16.8</v>
      </c>
      <c r="U384">
        <v>10</v>
      </c>
      <c r="V384">
        <v>10</v>
      </c>
    </row>
    <row r="385" spans="1:22" x14ac:dyDescent="0.35">
      <c r="A385" t="s">
        <v>811</v>
      </c>
      <c r="B385" t="s">
        <v>812</v>
      </c>
      <c r="C385" t="s">
        <v>39</v>
      </c>
      <c r="D385" t="s">
        <v>25</v>
      </c>
      <c r="E385">
        <v>2027</v>
      </c>
      <c r="F385">
        <v>575.1</v>
      </c>
      <c r="G385">
        <v>55.4</v>
      </c>
      <c r="H385">
        <v>1366.5</v>
      </c>
      <c r="I385">
        <v>2</v>
      </c>
      <c r="J385">
        <v>74.2</v>
      </c>
      <c r="K385">
        <v>196.1</v>
      </c>
      <c r="L385">
        <v>24</v>
      </c>
      <c r="M385" t="s">
        <v>34</v>
      </c>
      <c r="N385" t="s">
        <v>26</v>
      </c>
      <c r="O385" t="s">
        <v>27</v>
      </c>
      <c r="P385" t="s">
        <v>28</v>
      </c>
      <c r="Q385" t="s">
        <v>36</v>
      </c>
      <c r="R385">
        <v>-4.3</v>
      </c>
      <c r="S385">
        <v>-2553.6999999999998</v>
      </c>
      <c r="T385">
        <v>31</v>
      </c>
      <c r="U385">
        <v>264</v>
      </c>
      <c r="V385">
        <v>5</v>
      </c>
    </row>
    <row r="386" spans="1:22" x14ac:dyDescent="0.35">
      <c r="A386" t="s">
        <v>813</v>
      </c>
      <c r="B386" t="s">
        <v>814</v>
      </c>
      <c r="C386" t="s">
        <v>97</v>
      </c>
      <c r="D386" t="s">
        <v>33</v>
      </c>
      <c r="E386">
        <v>2028</v>
      </c>
      <c r="F386">
        <v>74.5</v>
      </c>
      <c r="G386">
        <v>54.1</v>
      </c>
      <c r="H386">
        <v>75</v>
      </c>
      <c r="I386">
        <v>3.8</v>
      </c>
      <c r="J386">
        <v>2.6</v>
      </c>
      <c r="K386">
        <v>104.61</v>
      </c>
      <c r="L386">
        <v>17</v>
      </c>
      <c r="M386" t="s">
        <v>27</v>
      </c>
      <c r="N386" t="s">
        <v>27</v>
      </c>
      <c r="O386" t="s">
        <v>27</v>
      </c>
      <c r="P386" t="s">
        <v>28</v>
      </c>
      <c r="Q386" t="s">
        <v>36</v>
      </c>
      <c r="R386">
        <v>1.4</v>
      </c>
      <c r="S386">
        <v>-60.8</v>
      </c>
      <c r="T386">
        <v>58.3</v>
      </c>
      <c r="U386">
        <v>46</v>
      </c>
      <c r="V386">
        <v>2</v>
      </c>
    </row>
    <row r="387" spans="1:22" x14ac:dyDescent="0.35">
      <c r="A387" t="s">
        <v>815</v>
      </c>
      <c r="B387" t="s">
        <v>816</v>
      </c>
      <c r="C387" t="s">
        <v>24</v>
      </c>
      <c r="D387" t="s">
        <v>40</v>
      </c>
      <c r="E387">
        <v>2028</v>
      </c>
      <c r="F387">
        <v>1157</v>
      </c>
      <c r="G387">
        <v>41.8</v>
      </c>
      <c r="H387">
        <v>1005.3</v>
      </c>
      <c r="I387">
        <v>119.9</v>
      </c>
      <c r="J387">
        <v>37.4</v>
      </c>
      <c r="K387">
        <v>2589.17</v>
      </c>
      <c r="L387">
        <v>29</v>
      </c>
      <c r="M387" t="s">
        <v>26</v>
      </c>
      <c r="N387" t="s">
        <v>27</v>
      </c>
      <c r="O387" t="s">
        <v>26</v>
      </c>
      <c r="P387" t="s">
        <v>35</v>
      </c>
      <c r="Q387" t="s">
        <v>36</v>
      </c>
      <c r="R387">
        <v>7.6</v>
      </c>
      <c r="S387">
        <v>540.4</v>
      </c>
      <c r="T387">
        <v>12.2</v>
      </c>
      <c r="U387">
        <v>937</v>
      </c>
      <c r="V387">
        <v>2</v>
      </c>
    </row>
    <row r="388" spans="1:22" x14ac:dyDescent="0.35">
      <c r="A388" t="s">
        <v>817</v>
      </c>
      <c r="B388" t="s">
        <v>818</v>
      </c>
      <c r="C388" t="s">
        <v>24</v>
      </c>
      <c r="D388" t="s">
        <v>46</v>
      </c>
      <c r="E388">
        <v>2028</v>
      </c>
      <c r="F388">
        <v>1197.5999999999999</v>
      </c>
      <c r="G388">
        <v>54.5</v>
      </c>
      <c r="H388">
        <v>2236.5</v>
      </c>
      <c r="I388">
        <v>193.9</v>
      </c>
      <c r="J388">
        <v>58.5</v>
      </c>
      <c r="K388">
        <v>2264.91</v>
      </c>
      <c r="L388">
        <v>28</v>
      </c>
      <c r="M388" t="s">
        <v>27</v>
      </c>
      <c r="N388" t="s">
        <v>34</v>
      </c>
      <c r="O388" t="s">
        <v>26</v>
      </c>
      <c r="P388" t="s">
        <v>35</v>
      </c>
      <c r="Q388" t="s">
        <v>65</v>
      </c>
      <c r="R388">
        <v>5.8</v>
      </c>
      <c r="S388">
        <v>399.3</v>
      </c>
      <c r="T388">
        <v>16.5</v>
      </c>
      <c r="U388">
        <v>776</v>
      </c>
      <c r="V388">
        <v>9</v>
      </c>
    </row>
    <row r="389" spans="1:22" x14ac:dyDescent="0.35">
      <c r="A389" t="s">
        <v>819</v>
      </c>
      <c r="B389" t="s">
        <v>820</v>
      </c>
      <c r="C389" t="s">
        <v>39</v>
      </c>
      <c r="D389" t="s">
        <v>40</v>
      </c>
      <c r="E389">
        <v>2034</v>
      </c>
      <c r="F389">
        <v>356.2</v>
      </c>
      <c r="G389">
        <v>53.9</v>
      </c>
      <c r="H389">
        <v>951.6</v>
      </c>
      <c r="I389">
        <v>169.8</v>
      </c>
      <c r="J389">
        <v>42.6</v>
      </c>
      <c r="K389">
        <v>122.59</v>
      </c>
      <c r="L389">
        <v>36</v>
      </c>
      <c r="M389" t="s">
        <v>27</v>
      </c>
      <c r="N389" t="s">
        <v>34</v>
      </c>
      <c r="O389" t="s">
        <v>27</v>
      </c>
      <c r="P389" t="s">
        <v>52</v>
      </c>
      <c r="Q389" t="s">
        <v>65</v>
      </c>
      <c r="R389">
        <v>13.8</v>
      </c>
      <c r="S389">
        <v>2612.1999999999998</v>
      </c>
      <c r="T389">
        <v>7.5</v>
      </c>
      <c r="U389">
        <v>565</v>
      </c>
      <c r="V389">
        <v>6</v>
      </c>
    </row>
    <row r="390" spans="1:22" x14ac:dyDescent="0.35">
      <c r="A390" t="s">
        <v>821</v>
      </c>
      <c r="B390" t="s">
        <v>822</v>
      </c>
      <c r="C390" t="s">
        <v>62</v>
      </c>
      <c r="D390" t="s">
        <v>40</v>
      </c>
      <c r="E390">
        <v>2027</v>
      </c>
      <c r="F390">
        <v>424.6</v>
      </c>
      <c r="G390">
        <v>19</v>
      </c>
      <c r="H390">
        <v>463.5</v>
      </c>
      <c r="I390">
        <v>55.7</v>
      </c>
      <c r="J390">
        <v>12.7</v>
      </c>
      <c r="K390">
        <v>250.74</v>
      </c>
      <c r="L390">
        <v>28</v>
      </c>
      <c r="M390" t="s">
        <v>26</v>
      </c>
      <c r="N390" t="s">
        <v>26</v>
      </c>
      <c r="O390" t="s">
        <v>26</v>
      </c>
      <c r="P390" t="s">
        <v>52</v>
      </c>
      <c r="Q390" t="s">
        <v>29</v>
      </c>
      <c r="R390">
        <v>10</v>
      </c>
      <c r="S390">
        <v>320.39999999999998</v>
      </c>
      <c r="T390">
        <v>10.8</v>
      </c>
      <c r="U390">
        <v>645</v>
      </c>
      <c r="V390">
        <v>8</v>
      </c>
    </row>
    <row r="391" spans="1:22" x14ac:dyDescent="0.35">
      <c r="A391" t="s">
        <v>823</v>
      </c>
      <c r="B391" t="s">
        <v>824</v>
      </c>
      <c r="C391" t="s">
        <v>120</v>
      </c>
      <c r="D391" t="s">
        <v>40</v>
      </c>
      <c r="E391">
        <v>2032</v>
      </c>
      <c r="F391">
        <v>82.9</v>
      </c>
      <c r="G391">
        <v>74.400000000000006</v>
      </c>
      <c r="H391">
        <v>1258.5999999999999</v>
      </c>
      <c r="I391">
        <v>91</v>
      </c>
      <c r="J391">
        <v>55.4</v>
      </c>
      <c r="K391">
        <v>321.2</v>
      </c>
      <c r="L391">
        <v>22</v>
      </c>
      <c r="M391" t="s">
        <v>26</v>
      </c>
      <c r="N391" t="s">
        <v>27</v>
      </c>
      <c r="O391" t="s">
        <v>26</v>
      </c>
      <c r="P391" t="s">
        <v>28</v>
      </c>
      <c r="Q391" t="s">
        <v>47</v>
      </c>
      <c r="R391">
        <v>3.7</v>
      </c>
      <c r="S391">
        <v>-803.5</v>
      </c>
      <c r="T391">
        <v>35.299999999999997</v>
      </c>
      <c r="U391">
        <v>45</v>
      </c>
      <c r="V391">
        <v>6</v>
      </c>
    </row>
    <row r="392" spans="1:22" x14ac:dyDescent="0.35">
      <c r="A392" t="s">
        <v>825</v>
      </c>
      <c r="B392" t="s">
        <v>826</v>
      </c>
      <c r="C392" t="s">
        <v>24</v>
      </c>
      <c r="D392" t="s">
        <v>33</v>
      </c>
      <c r="E392">
        <v>2031</v>
      </c>
      <c r="F392">
        <v>1144.5999999999999</v>
      </c>
      <c r="G392">
        <v>39</v>
      </c>
      <c r="H392">
        <v>1040.4000000000001</v>
      </c>
      <c r="I392">
        <v>177</v>
      </c>
      <c r="J392">
        <v>38</v>
      </c>
      <c r="K392">
        <v>1385.33</v>
      </c>
      <c r="L392">
        <v>28</v>
      </c>
      <c r="M392" t="s">
        <v>27</v>
      </c>
      <c r="N392" t="s">
        <v>27</v>
      </c>
      <c r="O392" t="s">
        <v>27</v>
      </c>
      <c r="P392" t="s">
        <v>35</v>
      </c>
      <c r="Q392" t="s">
        <v>47</v>
      </c>
      <c r="R392">
        <v>13.8</v>
      </c>
      <c r="S392">
        <v>1752.2</v>
      </c>
      <c r="T392">
        <v>7.5</v>
      </c>
      <c r="U392">
        <v>1466</v>
      </c>
      <c r="V392">
        <v>8</v>
      </c>
    </row>
    <row r="393" spans="1:22" x14ac:dyDescent="0.35">
      <c r="A393" t="s">
        <v>827</v>
      </c>
      <c r="B393" t="s">
        <v>828</v>
      </c>
      <c r="C393" t="s">
        <v>43</v>
      </c>
      <c r="D393" t="s">
        <v>57</v>
      </c>
      <c r="E393">
        <v>2029</v>
      </c>
      <c r="F393">
        <v>428.9</v>
      </c>
      <c r="G393">
        <v>16.100000000000001</v>
      </c>
      <c r="H393">
        <v>807.3</v>
      </c>
      <c r="I393">
        <v>97.4</v>
      </c>
      <c r="J393">
        <v>48</v>
      </c>
      <c r="K393">
        <v>152.38999999999999</v>
      </c>
      <c r="L393">
        <v>13</v>
      </c>
      <c r="M393" t="s">
        <v>27</v>
      </c>
      <c r="N393" t="s">
        <v>27</v>
      </c>
      <c r="O393" t="s">
        <v>26</v>
      </c>
      <c r="P393" t="s">
        <v>35</v>
      </c>
      <c r="Q393" t="s">
        <v>65</v>
      </c>
      <c r="R393">
        <v>5.4</v>
      </c>
      <c r="S393">
        <v>-348.4</v>
      </c>
      <c r="T393">
        <v>16.3</v>
      </c>
      <c r="U393">
        <v>580</v>
      </c>
      <c r="V393">
        <v>8</v>
      </c>
    </row>
    <row r="394" spans="1:22" x14ac:dyDescent="0.35">
      <c r="A394" t="s">
        <v>829</v>
      </c>
      <c r="B394" t="s">
        <v>830</v>
      </c>
      <c r="C394" t="s">
        <v>32</v>
      </c>
      <c r="D394" t="s">
        <v>33</v>
      </c>
      <c r="E394">
        <v>2029</v>
      </c>
      <c r="F394">
        <v>4.0999999999999996</v>
      </c>
      <c r="G394">
        <v>69.2</v>
      </c>
      <c r="H394">
        <v>2682.4</v>
      </c>
      <c r="I394">
        <v>246.5</v>
      </c>
      <c r="J394">
        <v>111.2</v>
      </c>
      <c r="K394">
        <v>8.0299999999999994</v>
      </c>
      <c r="L394">
        <v>21</v>
      </c>
      <c r="M394" t="s">
        <v>27</v>
      </c>
      <c r="N394" t="s">
        <v>27</v>
      </c>
      <c r="O394" t="s">
        <v>26</v>
      </c>
      <c r="P394" t="s">
        <v>35</v>
      </c>
      <c r="Q394" t="s">
        <v>65</v>
      </c>
      <c r="R394">
        <v>5.2</v>
      </c>
      <c r="S394">
        <v>-612.4</v>
      </c>
      <c r="T394">
        <v>19.8</v>
      </c>
      <c r="U394">
        <v>10</v>
      </c>
      <c r="V394">
        <v>1</v>
      </c>
    </row>
    <row r="395" spans="1:22" x14ac:dyDescent="0.35">
      <c r="A395" t="s">
        <v>831</v>
      </c>
      <c r="B395" t="s">
        <v>832</v>
      </c>
      <c r="C395" t="s">
        <v>32</v>
      </c>
      <c r="D395" t="s">
        <v>33</v>
      </c>
      <c r="E395">
        <v>2030</v>
      </c>
      <c r="F395">
        <v>3.9</v>
      </c>
      <c r="G395">
        <v>78.599999999999994</v>
      </c>
      <c r="H395">
        <v>1840.1</v>
      </c>
      <c r="I395">
        <v>297</v>
      </c>
      <c r="J395">
        <v>104</v>
      </c>
      <c r="K395">
        <v>11.57</v>
      </c>
      <c r="L395">
        <v>28</v>
      </c>
      <c r="M395" t="s">
        <v>26</v>
      </c>
      <c r="N395" t="s">
        <v>26</v>
      </c>
      <c r="O395" t="s">
        <v>34</v>
      </c>
      <c r="P395" t="s">
        <v>35</v>
      </c>
      <c r="Q395" t="s">
        <v>65</v>
      </c>
      <c r="R395">
        <v>10.6</v>
      </c>
      <c r="S395">
        <v>1576.2</v>
      </c>
      <c r="T395">
        <v>9.5</v>
      </c>
      <c r="U395">
        <v>10</v>
      </c>
      <c r="V395">
        <v>2</v>
      </c>
    </row>
    <row r="396" spans="1:22" x14ac:dyDescent="0.35">
      <c r="A396" t="s">
        <v>833</v>
      </c>
      <c r="B396" t="s">
        <v>834</v>
      </c>
      <c r="C396" t="s">
        <v>32</v>
      </c>
      <c r="D396" t="s">
        <v>33</v>
      </c>
      <c r="E396">
        <v>2033</v>
      </c>
      <c r="F396">
        <v>1</v>
      </c>
      <c r="G396">
        <v>61.6</v>
      </c>
      <c r="H396">
        <v>2315.9</v>
      </c>
      <c r="I396">
        <v>2</v>
      </c>
      <c r="J396">
        <v>182.5</v>
      </c>
      <c r="K396">
        <v>3.71</v>
      </c>
      <c r="L396">
        <v>23</v>
      </c>
      <c r="M396" t="s">
        <v>34</v>
      </c>
      <c r="N396" t="s">
        <v>27</v>
      </c>
      <c r="O396" t="s">
        <v>34</v>
      </c>
      <c r="P396" t="s">
        <v>52</v>
      </c>
      <c r="Q396" t="s">
        <v>65</v>
      </c>
      <c r="R396">
        <v>-13.6</v>
      </c>
      <c r="S396">
        <v>-6571</v>
      </c>
      <c r="T396">
        <v>25.3</v>
      </c>
      <c r="U396">
        <v>10</v>
      </c>
      <c r="V396">
        <v>5</v>
      </c>
    </row>
    <row r="397" spans="1:22" x14ac:dyDescent="0.35">
      <c r="A397" t="s">
        <v>835</v>
      </c>
      <c r="B397" t="s">
        <v>836</v>
      </c>
      <c r="C397" t="s">
        <v>39</v>
      </c>
      <c r="D397" t="s">
        <v>46</v>
      </c>
      <c r="E397">
        <v>2035</v>
      </c>
      <c r="F397">
        <v>430.4</v>
      </c>
      <c r="G397">
        <v>67.2</v>
      </c>
      <c r="H397">
        <v>318.89999999999998</v>
      </c>
      <c r="I397">
        <v>31.5</v>
      </c>
      <c r="J397">
        <v>9.8000000000000007</v>
      </c>
      <c r="K397">
        <v>335.64</v>
      </c>
      <c r="L397">
        <v>26</v>
      </c>
      <c r="M397" t="s">
        <v>27</v>
      </c>
      <c r="N397" t="s">
        <v>26</v>
      </c>
      <c r="O397" t="s">
        <v>26</v>
      </c>
      <c r="P397" t="s">
        <v>52</v>
      </c>
      <c r="Q397" t="s">
        <v>47</v>
      </c>
      <c r="R397">
        <v>5.9</v>
      </c>
      <c r="S397">
        <v>38.4</v>
      </c>
      <c r="T397">
        <v>14.7</v>
      </c>
      <c r="U397">
        <v>455</v>
      </c>
      <c r="V397">
        <v>10</v>
      </c>
    </row>
    <row r="398" spans="1:22" x14ac:dyDescent="0.35">
      <c r="A398" t="s">
        <v>837</v>
      </c>
      <c r="B398" t="s">
        <v>838</v>
      </c>
      <c r="C398" t="s">
        <v>24</v>
      </c>
      <c r="D398" t="s">
        <v>33</v>
      </c>
      <c r="E398">
        <v>2033</v>
      </c>
      <c r="F398">
        <v>1357.6</v>
      </c>
      <c r="G398">
        <v>42.7</v>
      </c>
      <c r="H398">
        <v>2150.1999999999998</v>
      </c>
      <c r="I398">
        <v>169.1</v>
      </c>
      <c r="J398">
        <v>87</v>
      </c>
      <c r="K398">
        <v>884.75</v>
      </c>
      <c r="L398">
        <v>30</v>
      </c>
      <c r="M398" t="s">
        <v>27</v>
      </c>
      <c r="N398" t="s">
        <v>26</v>
      </c>
      <c r="O398" t="s">
        <v>26</v>
      </c>
      <c r="P398" t="s">
        <v>35</v>
      </c>
      <c r="Q398" t="s">
        <v>29</v>
      </c>
      <c r="R398">
        <v>3.6</v>
      </c>
      <c r="S398">
        <v>-308.89999999999998</v>
      </c>
      <c r="T398">
        <v>26.2</v>
      </c>
      <c r="U398">
        <v>1678</v>
      </c>
      <c r="V398">
        <v>7</v>
      </c>
    </row>
    <row r="399" spans="1:22" x14ac:dyDescent="0.35">
      <c r="A399" t="s">
        <v>839</v>
      </c>
      <c r="B399" t="s">
        <v>840</v>
      </c>
      <c r="C399" t="s">
        <v>39</v>
      </c>
      <c r="D399" t="s">
        <v>25</v>
      </c>
      <c r="E399">
        <v>2033</v>
      </c>
      <c r="F399">
        <v>753</v>
      </c>
      <c r="G399">
        <v>61.8</v>
      </c>
      <c r="H399">
        <v>987.2</v>
      </c>
      <c r="I399">
        <v>57.5</v>
      </c>
      <c r="J399">
        <v>25.2</v>
      </c>
      <c r="K399">
        <v>735.57</v>
      </c>
      <c r="L399">
        <v>35</v>
      </c>
      <c r="M399" t="s">
        <v>27</v>
      </c>
      <c r="N399" t="s">
        <v>26</v>
      </c>
      <c r="O399" t="s">
        <v>34</v>
      </c>
      <c r="P399" t="s">
        <v>28</v>
      </c>
      <c r="Q399" t="s">
        <v>47</v>
      </c>
      <c r="R399">
        <v>2.1</v>
      </c>
      <c r="S399">
        <v>-110.6</v>
      </c>
      <c r="T399">
        <v>30.5</v>
      </c>
      <c r="U399">
        <v>979</v>
      </c>
      <c r="V399">
        <v>8</v>
      </c>
    </row>
    <row r="400" spans="1:22" x14ac:dyDescent="0.35">
      <c r="A400" t="s">
        <v>841</v>
      </c>
      <c r="B400" t="s">
        <v>842</v>
      </c>
      <c r="C400" t="s">
        <v>97</v>
      </c>
      <c r="D400" t="s">
        <v>40</v>
      </c>
      <c r="E400">
        <v>2034</v>
      </c>
      <c r="F400">
        <v>153.6</v>
      </c>
      <c r="G400">
        <v>38</v>
      </c>
      <c r="H400">
        <v>395.2</v>
      </c>
      <c r="I400">
        <v>45.7</v>
      </c>
      <c r="J400">
        <v>13.4</v>
      </c>
      <c r="K400">
        <v>172.38</v>
      </c>
      <c r="L400">
        <v>16</v>
      </c>
      <c r="M400" t="s">
        <v>34</v>
      </c>
      <c r="N400" t="s">
        <v>26</v>
      </c>
      <c r="O400" t="s">
        <v>34</v>
      </c>
      <c r="P400" t="s">
        <v>35</v>
      </c>
      <c r="Q400" t="s">
        <v>29</v>
      </c>
      <c r="R400">
        <v>9.1999999999999993</v>
      </c>
      <c r="S400">
        <v>-32</v>
      </c>
      <c r="T400">
        <v>12.2</v>
      </c>
      <c r="U400">
        <v>147</v>
      </c>
      <c r="V400">
        <v>8</v>
      </c>
    </row>
    <row r="401" spans="1:22" x14ac:dyDescent="0.35">
      <c r="A401" t="s">
        <v>843</v>
      </c>
      <c r="B401" t="s">
        <v>844</v>
      </c>
      <c r="C401" t="s">
        <v>39</v>
      </c>
      <c r="D401" t="s">
        <v>40</v>
      </c>
      <c r="E401">
        <v>2035</v>
      </c>
      <c r="F401">
        <v>97.4</v>
      </c>
      <c r="G401">
        <v>50.8</v>
      </c>
      <c r="H401">
        <v>1208.8</v>
      </c>
      <c r="I401">
        <v>56.9</v>
      </c>
      <c r="J401">
        <v>46.8</v>
      </c>
      <c r="K401">
        <v>57.27</v>
      </c>
      <c r="L401">
        <v>39</v>
      </c>
      <c r="M401" t="s">
        <v>26</v>
      </c>
      <c r="N401" t="s">
        <v>34</v>
      </c>
      <c r="O401" t="s">
        <v>26</v>
      </c>
      <c r="P401" t="s">
        <v>28</v>
      </c>
      <c r="Q401" t="s">
        <v>29</v>
      </c>
      <c r="R401">
        <v>1.4</v>
      </c>
      <c r="S401">
        <v>-955.3</v>
      </c>
      <c r="T401">
        <v>120.6</v>
      </c>
      <c r="U401">
        <v>114</v>
      </c>
      <c r="V401">
        <v>10</v>
      </c>
    </row>
    <row r="402" spans="1:22" x14ac:dyDescent="0.35">
      <c r="A402" t="s">
        <v>845</v>
      </c>
      <c r="B402" t="s">
        <v>846</v>
      </c>
      <c r="C402" t="s">
        <v>120</v>
      </c>
      <c r="D402" t="s">
        <v>78</v>
      </c>
      <c r="E402">
        <v>2033</v>
      </c>
      <c r="F402">
        <v>81.599999999999994</v>
      </c>
      <c r="G402">
        <v>33.4</v>
      </c>
      <c r="H402">
        <v>957.8</v>
      </c>
      <c r="I402">
        <v>72.599999999999994</v>
      </c>
      <c r="J402">
        <v>52.2</v>
      </c>
      <c r="K402">
        <v>79.290000000000006</v>
      </c>
      <c r="L402">
        <v>16</v>
      </c>
      <c r="M402" t="s">
        <v>27</v>
      </c>
      <c r="N402" t="s">
        <v>26</v>
      </c>
      <c r="O402" t="s">
        <v>27</v>
      </c>
      <c r="P402" t="s">
        <v>28</v>
      </c>
      <c r="Q402" t="s">
        <v>29</v>
      </c>
      <c r="R402">
        <v>1.5</v>
      </c>
      <c r="S402">
        <v>-755.7</v>
      </c>
      <c r="T402">
        <v>47</v>
      </c>
      <c r="U402">
        <v>64</v>
      </c>
      <c r="V402">
        <v>8</v>
      </c>
    </row>
    <row r="403" spans="1:22" x14ac:dyDescent="0.35">
      <c r="A403" t="s">
        <v>847</v>
      </c>
      <c r="B403" t="s">
        <v>848</v>
      </c>
      <c r="C403" t="s">
        <v>39</v>
      </c>
      <c r="D403" t="s">
        <v>57</v>
      </c>
      <c r="E403">
        <v>2027</v>
      </c>
      <c r="F403">
        <v>55.5</v>
      </c>
      <c r="G403">
        <v>55.6</v>
      </c>
      <c r="H403">
        <v>216.6</v>
      </c>
      <c r="I403">
        <v>7.3</v>
      </c>
      <c r="J403">
        <v>8</v>
      </c>
      <c r="K403">
        <v>22.48</v>
      </c>
      <c r="L403">
        <v>24</v>
      </c>
      <c r="M403" t="s">
        <v>27</v>
      </c>
      <c r="N403" t="s">
        <v>26</v>
      </c>
      <c r="O403" t="s">
        <v>27</v>
      </c>
      <c r="P403" t="s">
        <v>52</v>
      </c>
      <c r="Q403" t="s">
        <v>65</v>
      </c>
      <c r="R403">
        <v>0</v>
      </c>
      <c r="S403">
        <v>-227.4</v>
      </c>
      <c r="T403">
        <v>39.9</v>
      </c>
      <c r="U403">
        <v>75</v>
      </c>
      <c r="V403">
        <v>6</v>
      </c>
    </row>
    <row r="404" spans="1:22" x14ac:dyDescent="0.35">
      <c r="A404" t="s">
        <v>849</v>
      </c>
      <c r="B404" t="s">
        <v>850</v>
      </c>
      <c r="C404" t="s">
        <v>32</v>
      </c>
      <c r="D404" t="s">
        <v>33</v>
      </c>
      <c r="E404">
        <v>2032</v>
      </c>
      <c r="F404">
        <v>3.3</v>
      </c>
      <c r="G404">
        <v>66.3</v>
      </c>
      <c r="H404">
        <v>2224.4</v>
      </c>
      <c r="I404">
        <v>27.6</v>
      </c>
      <c r="J404">
        <v>174.2</v>
      </c>
      <c r="K404">
        <v>11.74</v>
      </c>
      <c r="L404">
        <v>23</v>
      </c>
      <c r="M404" t="s">
        <v>26</v>
      </c>
      <c r="N404" t="s">
        <v>34</v>
      </c>
      <c r="O404" t="s">
        <v>27</v>
      </c>
      <c r="P404" t="s">
        <v>35</v>
      </c>
      <c r="Q404" t="s">
        <v>65</v>
      </c>
      <c r="R404">
        <v>-7.4</v>
      </c>
      <c r="S404">
        <v>-4484.2</v>
      </c>
      <c r="T404">
        <v>22.4</v>
      </c>
      <c r="U404">
        <v>10</v>
      </c>
      <c r="V404">
        <v>7</v>
      </c>
    </row>
    <row r="405" spans="1:22" x14ac:dyDescent="0.35">
      <c r="A405" t="s">
        <v>851</v>
      </c>
      <c r="B405" t="s">
        <v>852</v>
      </c>
      <c r="C405" t="s">
        <v>43</v>
      </c>
      <c r="D405" t="s">
        <v>25</v>
      </c>
      <c r="E405">
        <v>2033</v>
      </c>
      <c r="F405">
        <v>48.2</v>
      </c>
      <c r="G405">
        <v>21.9</v>
      </c>
      <c r="H405">
        <v>531.9</v>
      </c>
      <c r="I405">
        <v>53.8</v>
      </c>
      <c r="J405">
        <v>17</v>
      </c>
      <c r="K405">
        <v>21.49</v>
      </c>
      <c r="L405">
        <v>15</v>
      </c>
      <c r="M405" t="s">
        <v>27</v>
      </c>
      <c r="N405" t="s">
        <v>27</v>
      </c>
      <c r="O405" t="s">
        <v>27</v>
      </c>
      <c r="P405" t="s">
        <v>28</v>
      </c>
      <c r="Q405" t="s">
        <v>65</v>
      </c>
      <c r="R405">
        <v>7.6</v>
      </c>
      <c r="S405">
        <v>-162.6</v>
      </c>
      <c r="T405">
        <v>14.5</v>
      </c>
      <c r="U405">
        <v>70</v>
      </c>
      <c r="V405">
        <v>8</v>
      </c>
    </row>
    <row r="406" spans="1:22" x14ac:dyDescent="0.35">
      <c r="A406" t="s">
        <v>853</v>
      </c>
      <c r="B406" t="s">
        <v>854</v>
      </c>
      <c r="C406" t="s">
        <v>62</v>
      </c>
      <c r="D406" t="s">
        <v>78</v>
      </c>
      <c r="E406">
        <v>2033</v>
      </c>
      <c r="F406">
        <v>53.7</v>
      </c>
      <c r="G406">
        <v>18.100000000000001</v>
      </c>
      <c r="H406">
        <v>612.29999999999995</v>
      </c>
      <c r="I406">
        <v>43.1</v>
      </c>
      <c r="J406">
        <v>15.8</v>
      </c>
      <c r="K406">
        <v>32.200000000000003</v>
      </c>
      <c r="L406">
        <v>30</v>
      </c>
      <c r="M406" t="s">
        <v>26</v>
      </c>
      <c r="N406" t="s">
        <v>26</v>
      </c>
      <c r="O406" t="s">
        <v>34</v>
      </c>
      <c r="P406" t="s">
        <v>35</v>
      </c>
      <c r="Q406" t="s">
        <v>47</v>
      </c>
      <c r="R406">
        <v>4.2</v>
      </c>
      <c r="S406">
        <v>-118.4</v>
      </c>
      <c r="T406">
        <v>22.4</v>
      </c>
      <c r="U406">
        <v>45</v>
      </c>
      <c r="V406">
        <v>8</v>
      </c>
    </row>
    <row r="407" spans="1:22" x14ac:dyDescent="0.35">
      <c r="A407" t="s">
        <v>855</v>
      </c>
      <c r="B407" t="s">
        <v>856</v>
      </c>
      <c r="C407" t="s">
        <v>97</v>
      </c>
      <c r="D407" t="s">
        <v>25</v>
      </c>
      <c r="E407">
        <v>2029</v>
      </c>
      <c r="F407">
        <v>67.3</v>
      </c>
      <c r="G407">
        <v>51.4</v>
      </c>
      <c r="H407">
        <v>348.7</v>
      </c>
      <c r="I407">
        <v>33</v>
      </c>
      <c r="J407">
        <v>9.6999999999999993</v>
      </c>
      <c r="K407">
        <v>96.83</v>
      </c>
      <c r="L407">
        <v>17</v>
      </c>
      <c r="M407" t="s">
        <v>27</v>
      </c>
      <c r="N407" t="s">
        <v>27</v>
      </c>
      <c r="O407" t="s">
        <v>27</v>
      </c>
      <c r="P407" t="s">
        <v>28</v>
      </c>
      <c r="Q407" t="s">
        <v>36</v>
      </c>
      <c r="R407">
        <v>7.2</v>
      </c>
      <c r="S407">
        <v>-43.6</v>
      </c>
      <c r="T407">
        <v>15</v>
      </c>
      <c r="U407">
        <v>80</v>
      </c>
      <c r="V407">
        <v>6</v>
      </c>
    </row>
    <row r="408" spans="1:22" x14ac:dyDescent="0.35">
      <c r="A408" t="s">
        <v>857</v>
      </c>
      <c r="B408" t="s">
        <v>858</v>
      </c>
      <c r="C408" t="s">
        <v>120</v>
      </c>
      <c r="D408" t="s">
        <v>78</v>
      </c>
      <c r="E408">
        <v>2027</v>
      </c>
      <c r="F408">
        <v>520.6</v>
      </c>
      <c r="G408">
        <v>36</v>
      </c>
      <c r="H408">
        <v>2220.9</v>
      </c>
      <c r="I408">
        <v>234.7</v>
      </c>
      <c r="J408">
        <v>160.80000000000001</v>
      </c>
      <c r="K408">
        <v>1123.1099999999999</v>
      </c>
      <c r="L408">
        <v>24</v>
      </c>
      <c r="M408" t="s">
        <v>27</v>
      </c>
      <c r="N408" t="s">
        <v>27</v>
      </c>
      <c r="O408" t="s">
        <v>27</v>
      </c>
      <c r="P408" t="s">
        <v>35</v>
      </c>
      <c r="Q408" t="s">
        <v>29</v>
      </c>
      <c r="R408">
        <v>3.3</v>
      </c>
      <c r="S408">
        <v>-1005.9</v>
      </c>
      <c r="T408">
        <v>30</v>
      </c>
      <c r="U408">
        <v>283</v>
      </c>
      <c r="V408">
        <v>7</v>
      </c>
    </row>
    <row r="409" spans="1:22" x14ac:dyDescent="0.35">
      <c r="A409" t="s">
        <v>859</v>
      </c>
      <c r="B409" t="s">
        <v>860</v>
      </c>
      <c r="C409" t="s">
        <v>62</v>
      </c>
      <c r="D409" t="s">
        <v>57</v>
      </c>
      <c r="E409">
        <v>2027</v>
      </c>
      <c r="F409">
        <v>369.6</v>
      </c>
      <c r="G409">
        <v>17.8</v>
      </c>
      <c r="H409">
        <v>415.3</v>
      </c>
      <c r="I409">
        <v>77.2</v>
      </c>
      <c r="J409">
        <v>7.8</v>
      </c>
      <c r="K409">
        <v>161.44999999999999</v>
      </c>
      <c r="L409">
        <v>30</v>
      </c>
      <c r="M409" t="s">
        <v>27</v>
      </c>
      <c r="N409" t="s">
        <v>27</v>
      </c>
      <c r="O409" t="s">
        <v>27</v>
      </c>
      <c r="P409" t="s">
        <v>52</v>
      </c>
      <c r="Q409" t="s">
        <v>47</v>
      </c>
      <c r="R409">
        <v>15.5</v>
      </c>
      <c r="S409">
        <v>1009</v>
      </c>
      <c r="T409">
        <v>6</v>
      </c>
      <c r="U409">
        <v>381</v>
      </c>
      <c r="V409">
        <v>7</v>
      </c>
    </row>
    <row r="410" spans="1:22" x14ac:dyDescent="0.35">
      <c r="A410" t="s">
        <v>861</v>
      </c>
      <c r="B410" t="s">
        <v>862</v>
      </c>
      <c r="C410" t="s">
        <v>24</v>
      </c>
      <c r="D410" t="s">
        <v>46</v>
      </c>
      <c r="E410">
        <v>2029</v>
      </c>
      <c r="F410">
        <v>313.7</v>
      </c>
      <c r="G410">
        <v>52.9</v>
      </c>
      <c r="H410">
        <v>2248.4</v>
      </c>
      <c r="I410">
        <v>442.7</v>
      </c>
      <c r="J410">
        <v>90.5</v>
      </c>
      <c r="K410">
        <v>1018.52</v>
      </c>
      <c r="L410">
        <v>25</v>
      </c>
      <c r="M410" t="s">
        <v>34</v>
      </c>
      <c r="N410" t="s">
        <v>27</v>
      </c>
      <c r="O410" t="s">
        <v>27</v>
      </c>
      <c r="P410" t="s">
        <v>35</v>
      </c>
      <c r="Q410" t="s">
        <v>47</v>
      </c>
      <c r="R410">
        <v>14.9</v>
      </c>
      <c r="S410">
        <v>3769.3</v>
      </c>
      <c r="T410">
        <v>6.4</v>
      </c>
      <c r="U410">
        <v>320</v>
      </c>
      <c r="V410">
        <v>3</v>
      </c>
    </row>
    <row r="411" spans="1:22" x14ac:dyDescent="0.35">
      <c r="A411" t="s">
        <v>863</v>
      </c>
      <c r="B411" t="s">
        <v>864</v>
      </c>
      <c r="C411" t="s">
        <v>120</v>
      </c>
      <c r="D411" t="s">
        <v>46</v>
      </c>
      <c r="E411">
        <v>2030</v>
      </c>
      <c r="F411">
        <v>513.4</v>
      </c>
      <c r="G411">
        <v>30.2</v>
      </c>
      <c r="H411">
        <v>1986.9</v>
      </c>
      <c r="I411">
        <v>113.7</v>
      </c>
      <c r="J411">
        <v>136.5</v>
      </c>
      <c r="K411">
        <v>50.71</v>
      </c>
      <c r="L411">
        <v>15</v>
      </c>
      <c r="M411" t="s">
        <v>34</v>
      </c>
      <c r="N411" t="s">
        <v>26</v>
      </c>
      <c r="O411" t="s">
        <v>26</v>
      </c>
      <c r="P411" t="s">
        <v>28</v>
      </c>
      <c r="Q411" t="s">
        <v>47</v>
      </c>
      <c r="R411">
        <v>-0.2</v>
      </c>
      <c r="S411">
        <v>-2237.6999999999998</v>
      </c>
      <c r="T411">
        <v>22.2</v>
      </c>
      <c r="U411">
        <v>769</v>
      </c>
      <c r="V411">
        <v>7</v>
      </c>
    </row>
    <row r="412" spans="1:22" x14ac:dyDescent="0.35">
      <c r="A412" t="s">
        <v>865</v>
      </c>
      <c r="B412" t="s">
        <v>866</v>
      </c>
      <c r="C412" t="s">
        <v>24</v>
      </c>
      <c r="D412" t="s">
        <v>33</v>
      </c>
      <c r="E412">
        <v>2032</v>
      </c>
      <c r="F412">
        <v>823.2</v>
      </c>
      <c r="G412">
        <v>39.4</v>
      </c>
      <c r="H412">
        <v>1956</v>
      </c>
      <c r="I412">
        <v>362.1</v>
      </c>
      <c r="J412">
        <v>74.7</v>
      </c>
      <c r="K412">
        <v>813.32</v>
      </c>
      <c r="L412">
        <v>26</v>
      </c>
      <c r="M412" t="s">
        <v>27</v>
      </c>
      <c r="N412" t="s">
        <v>26</v>
      </c>
      <c r="O412" t="s">
        <v>27</v>
      </c>
      <c r="P412" t="s">
        <v>28</v>
      </c>
      <c r="Q412" t="s">
        <v>29</v>
      </c>
      <c r="R412">
        <v>14.5</v>
      </c>
      <c r="S412">
        <v>3735.5</v>
      </c>
      <c r="T412">
        <v>6.8</v>
      </c>
      <c r="U412">
        <v>1081</v>
      </c>
      <c r="V412">
        <v>8</v>
      </c>
    </row>
    <row r="413" spans="1:22" x14ac:dyDescent="0.35">
      <c r="A413" t="s">
        <v>867</v>
      </c>
      <c r="B413" t="s">
        <v>868</v>
      </c>
      <c r="C413" t="s">
        <v>32</v>
      </c>
      <c r="D413" t="s">
        <v>33</v>
      </c>
      <c r="E413">
        <v>2030</v>
      </c>
      <c r="F413">
        <v>5.6</v>
      </c>
      <c r="G413">
        <v>77.099999999999994</v>
      </c>
      <c r="H413">
        <v>2330.3000000000002</v>
      </c>
      <c r="I413">
        <v>2</v>
      </c>
      <c r="J413">
        <v>115.7</v>
      </c>
      <c r="K413">
        <v>15.91</v>
      </c>
      <c r="L413">
        <v>20</v>
      </c>
      <c r="M413" t="s">
        <v>34</v>
      </c>
      <c r="N413" t="s">
        <v>26</v>
      </c>
      <c r="O413" t="s">
        <v>27</v>
      </c>
      <c r="P413" t="s">
        <v>28</v>
      </c>
      <c r="Q413" t="s">
        <v>47</v>
      </c>
      <c r="R413">
        <v>-9.5</v>
      </c>
      <c r="S413">
        <v>-5325</v>
      </c>
      <c r="T413">
        <v>31.3</v>
      </c>
      <c r="U413">
        <v>10</v>
      </c>
      <c r="V413">
        <v>2</v>
      </c>
    </row>
    <row r="414" spans="1:22" x14ac:dyDescent="0.35">
      <c r="A414" t="s">
        <v>869</v>
      </c>
      <c r="B414" t="s">
        <v>870</v>
      </c>
      <c r="C414" t="s">
        <v>39</v>
      </c>
      <c r="D414" t="s">
        <v>40</v>
      </c>
      <c r="E414">
        <v>2028</v>
      </c>
      <c r="F414">
        <v>205.3</v>
      </c>
      <c r="G414">
        <v>58.5</v>
      </c>
      <c r="H414">
        <v>428.7</v>
      </c>
      <c r="I414">
        <v>44.8</v>
      </c>
      <c r="J414">
        <v>14.3</v>
      </c>
      <c r="K414">
        <v>76.02</v>
      </c>
      <c r="L414">
        <v>34</v>
      </c>
      <c r="M414" t="s">
        <v>27</v>
      </c>
      <c r="N414" t="s">
        <v>27</v>
      </c>
      <c r="O414" t="s">
        <v>27</v>
      </c>
      <c r="P414" t="s">
        <v>52</v>
      </c>
      <c r="Q414" t="s">
        <v>29</v>
      </c>
      <c r="R414">
        <v>7</v>
      </c>
      <c r="S414">
        <v>312.89999999999998</v>
      </c>
      <c r="T414">
        <v>14.1</v>
      </c>
      <c r="U414">
        <v>128</v>
      </c>
      <c r="V414">
        <v>9</v>
      </c>
    </row>
    <row r="415" spans="1:22" x14ac:dyDescent="0.35">
      <c r="A415" t="s">
        <v>871</v>
      </c>
      <c r="B415" t="s">
        <v>872</v>
      </c>
      <c r="C415" t="s">
        <v>32</v>
      </c>
      <c r="D415" t="s">
        <v>40</v>
      </c>
      <c r="E415">
        <v>2028</v>
      </c>
      <c r="F415">
        <v>5.5</v>
      </c>
      <c r="G415">
        <v>86.5</v>
      </c>
      <c r="H415">
        <v>1180.0999999999999</v>
      </c>
      <c r="I415">
        <v>111.1</v>
      </c>
      <c r="J415">
        <v>86.3</v>
      </c>
      <c r="K415">
        <v>29.13</v>
      </c>
      <c r="L415">
        <v>26</v>
      </c>
      <c r="M415" t="s">
        <v>34</v>
      </c>
      <c r="N415" t="s">
        <v>26</v>
      </c>
      <c r="O415" t="s">
        <v>27</v>
      </c>
      <c r="P415" t="s">
        <v>35</v>
      </c>
      <c r="Q415" t="s">
        <v>65</v>
      </c>
      <c r="R415">
        <v>3.1</v>
      </c>
      <c r="S415">
        <v>-796.1</v>
      </c>
      <c r="T415">
        <v>47.5</v>
      </c>
      <c r="U415">
        <v>10</v>
      </c>
      <c r="V415">
        <v>10</v>
      </c>
    </row>
    <row r="416" spans="1:22" x14ac:dyDescent="0.35">
      <c r="A416" t="s">
        <v>873</v>
      </c>
      <c r="B416" t="s">
        <v>874</v>
      </c>
      <c r="C416" t="s">
        <v>32</v>
      </c>
      <c r="D416" t="s">
        <v>46</v>
      </c>
      <c r="E416">
        <v>2027</v>
      </c>
      <c r="F416">
        <v>5.5</v>
      </c>
      <c r="G416">
        <v>69.7</v>
      </c>
      <c r="H416">
        <v>873.1</v>
      </c>
      <c r="I416">
        <v>40.5</v>
      </c>
      <c r="J416">
        <v>35.9</v>
      </c>
      <c r="K416">
        <v>18.48</v>
      </c>
      <c r="L416">
        <v>23</v>
      </c>
      <c r="M416" t="s">
        <v>26</v>
      </c>
      <c r="N416" t="s">
        <v>26</v>
      </c>
      <c r="O416" t="s">
        <v>26</v>
      </c>
      <c r="P416" t="s">
        <v>52</v>
      </c>
      <c r="Q416" t="s">
        <v>29</v>
      </c>
      <c r="R416">
        <v>0.3</v>
      </c>
      <c r="S416">
        <v>-811</v>
      </c>
      <c r="T416">
        <v>193.3</v>
      </c>
      <c r="U416">
        <v>10</v>
      </c>
      <c r="V416">
        <v>10</v>
      </c>
    </row>
    <row r="417" spans="1:22" x14ac:dyDescent="0.35">
      <c r="A417" t="s">
        <v>875</v>
      </c>
      <c r="B417" t="s">
        <v>876</v>
      </c>
      <c r="C417" t="s">
        <v>120</v>
      </c>
      <c r="D417" t="s">
        <v>33</v>
      </c>
      <c r="E417">
        <v>2027</v>
      </c>
      <c r="F417">
        <v>398</v>
      </c>
      <c r="G417">
        <v>62.7</v>
      </c>
      <c r="H417">
        <v>1612.3</v>
      </c>
      <c r="I417">
        <v>2</v>
      </c>
      <c r="J417">
        <v>51.5</v>
      </c>
      <c r="K417">
        <v>1137.8900000000001</v>
      </c>
      <c r="L417">
        <v>15</v>
      </c>
      <c r="M417" t="s">
        <v>27</v>
      </c>
      <c r="N417" t="s">
        <v>26</v>
      </c>
      <c r="O417" t="s">
        <v>26</v>
      </c>
      <c r="P417" t="s">
        <v>52</v>
      </c>
      <c r="Q417" t="s">
        <v>65</v>
      </c>
      <c r="R417">
        <v>-5</v>
      </c>
      <c r="S417">
        <v>-2335.1</v>
      </c>
      <c r="T417">
        <v>51.2</v>
      </c>
      <c r="U417">
        <v>521</v>
      </c>
      <c r="V417">
        <v>1</v>
      </c>
    </row>
    <row r="418" spans="1:22" x14ac:dyDescent="0.35">
      <c r="A418" t="s">
        <v>877</v>
      </c>
      <c r="B418" t="s">
        <v>878</v>
      </c>
      <c r="C418" t="s">
        <v>62</v>
      </c>
      <c r="D418" t="s">
        <v>33</v>
      </c>
      <c r="E418">
        <v>2034</v>
      </c>
      <c r="F418">
        <v>222.1</v>
      </c>
      <c r="G418">
        <v>15.9</v>
      </c>
      <c r="H418">
        <v>434.8</v>
      </c>
      <c r="I418">
        <v>64.599999999999994</v>
      </c>
      <c r="J418">
        <v>7</v>
      </c>
      <c r="K418">
        <v>94.28</v>
      </c>
      <c r="L418">
        <v>27</v>
      </c>
      <c r="M418" t="s">
        <v>27</v>
      </c>
      <c r="N418" t="s">
        <v>26</v>
      </c>
      <c r="O418" t="s">
        <v>26</v>
      </c>
      <c r="P418" t="s">
        <v>35</v>
      </c>
      <c r="Q418" t="s">
        <v>47</v>
      </c>
      <c r="R418">
        <v>13.2</v>
      </c>
      <c r="S418">
        <v>739.5</v>
      </c>
      <c r="T418">
        <v>7.5</v>
      </c>
      <c r="U418">
        <v>176</v>
      </c>
      <c r="V418">
        <v>9</v>
      </c>
    </row>
    <row r="419" spans="1:22" x14ac:dyDescent="0.35">
      <c r="A419" t="s">
        <v>879</v>
      </c>
      <c r="B419" t="s">
        <v>880</v>
      </c>
      <c r="C419" t="s">
        <v>43</v>
      </c>
      <c r="D419" t="s">
        <v>46</v>
      </c>
      <c r="E419">
        <v>2035</v>
      </c>
      <c r="F419">
        <v>38.200000000000003</v>
      </c>
      <c r="G419">
        <v>21.6</v>
      </c>
      <c r="H419">
        <v>847.6</v>
      </c>
      <c r="I419">
        <v>78.400000000000006</v>
      </c>
      <c r="J419">
        <v>20.6</v>
      </c>
      <c r="K419">
        <v>12.4</v>
      </c>
      <c r="L419">
        <v>17</v>
      </c>
      <c r="M419" t="s">
        <v>27</v>
      </c>
      <c r="N419" t="s">
        <v>27</v>
      </c>
      <c r="O419" t="s">
        <v>26</v>
      </c>
      <c r="P419" t="s">
        <v>28</v>
      </c>
      <c r="Q419" t="s">
        <v>47</v>
      </c>
      <c r="R419">
        <v>6.4</v>
      </c>
      <c r="S419">
        <v>-263.5</v>
      </c>
      <c r="T419">
        <v>14.7</v>
      </c>
      <c r="U419">
        <v>18</v>
      </c>
      <c r="V419">
        <v>4</v>
      </c>
    </row>
    <row r="420" spans="1:22" x14ac:dyDescent="0.35">
      <c r="A420" t="s">
        <v>881</v>
      </c>
      <c r="B420" t="s">
        <v>882</v>
      </c>
      <c r="C420" t="s">
        <v>43</v>
      </c>
      <c r="D420" t="s">
        <v>33</v>
      </c>
      <c r="E420">
        <v>2027</v>
      </c>
      <c r="F420">
        <v>252.6</v>
      </c>
      <c r="G420">
        <v>29</v>
      </c>
      <c r="H420">
        <v>158.9</v>
      </c>
      <c r="I420">
        <v>23.9</v>
      </c>
      <c r="J420">
        <v>7.9</v>
      </c>
      <c r="K420">
        <v>85.74</v>
      </c>
      <c r="L420">
        <v>16</v>
      </c>
      <c r="M420" t="s">
        <v>34</v>
      </c>
      <c r="N420" t="s">
        <v>26</v>
      </c>
      <c r="O420" t="s">
        <v>34</v>
      </c>
      <c r="P420" t="s">
        <v>35</v>
      </c>
      <c r="Q420" t="s">
        <v>65</v>
      </c>
      <c r="R420">
        <v>9.1999999999999993</v>
      </c>
      <c r="S420">
        <v>2.9</v>
      </c>
      <c r="T420">
        <v>9.9</v>
      </c>
      <c r="U420">
        <v>357</v>
      </c>
      <c r="V420">
        <v>10</v>
      </c>
    </row>
    <row r="421" spans="1:22" x14ac:dyDescent="0.35">
      <c r="A421" t="s">
        <v>883</v>
      </c>
      <c r="B421" t="s">
        <v>884</v>
      </c>
      <c r="C421" t="s">
        <v>32</v>
      </c>
      <c r="D421" t="s">
        <v>33</v>
      </c>
      <c r="E421">
        <v>2034</v>
      </c>
      <c r="F421">
        <v>5.3</v>
      </c>
      <c r="G421">
        <v>75.7</v>
      </c>
      <c r="H421">
        <v>1319.2</v>
      </c>
      <c r="I421">
        <v>2</v>
      </c>
      <c r="J421">
        <v>66.400000000000006</v>
      </c>
      <c r="K421">
        <v>13.15</v>
      </c>
      <c r="L421">
        <v>24</v>
      </c>
      <c r="M421" t="s">
        <v>27</v>
      </c>
      <c r="N421" t="s">
        <v>27</v>
      </c>
      <c r="O421" t="s">
        <v>26</v>
      </c>
      <c r="P421" t="s">
        <v>52</v>
      </c>
      <c r="Q421" t="s">
        <v>47</v>
      </c>
      <c r="R421">
        <v>-9.5</v>
      </c>
      <c r="S421">
        <v>-3497.5</v>
      </c>
      <c r="T421">
        <v>56.6</v>
      </c>
      <c r="U421">
        <v>10</v>
      </c>
      <c r="V421">
        <v>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selection activeCell="B10" sqref="B10"/>
    </sheetView>
  </sheetViews>
  <sheetFormatPr defaultRowHeight="14.5" x14ac:dyDescent="0.35"/>
  <cols>
    <col min="1" max="1" width="32" customWidth="1"/>
    <col min="2" max="2" width="100" customWidth="1"/>
  </cols>
  <sheetData>
    <row r="1" spans="1:2" ht="21" x14ac:dyDescent="0.5">
      <c r="A1" s="1" t="s">
        <v>885</v>
      </c>
    </row>
    <row r="3" spans="1:2" x14ac:dyDescent="0.35">
      <c r="A3" t="s">
        <v>886</v>
      </c>
      <c r="B3" t="s">
        <v>887</v>
      </c>
    </row>
    <row r="4" spans="1:2" x14ac:dyDescent="0.35">
      <c r="A4" t="s">
        <v>888</v>
      </c>
      <c r="B4">
        <v>420</v>
      </c>
    </row>
    <row r="5" spans="1:2" x14ac:dyDescent="0.35">
      <c r="A5" t="s">
        <v>889</v>
      </c>
      <c r="B5" t="s">
        <v>890</v>
      </c>
    </row>
    <row r="6" spans="1:2" x14ac:dyDescent="0.35">
      <c r="A6" t="s">
        <v>891</v>
      </c>
      <c r="B6" t="s">
        <v>938</v>
      </c>
    </row>
    <row r="7" spans="1:2" x14ac:dyDescent="0.35">
      <c r="A7" t="s">
        <v>892</v>
      </c>
      <c r="B7" t="s">
        <v>893</v>
      </c>
    </row>
    <row r="10" spans="1:2" x14ac:dyDescent="0.35">
      <c r="A10" t="s">
        <v>894</v>
      </c>
      <c r="B10" t="s">
        <v>886</v>
      </c>
    </row>
    <row r="11" spans="1:2" x14ac:dyDescent="0.35">
      <c r="A11" t="s">
        <v>5</v>
      </c>
      <c r="B11" t="s">
        <v>895</v>
      </c>
    </row>
    <row r="12" spans="1:2" x14ac:dyDescent="0.35">
      <c r="A12" t="s">
        <v>6</v>
      </c>
      <c r="B12" t="s">
        <v>896</v>
      </c>
    </row>
    <row r="13" spans="1:2" x14ac:dyDescent="0.35">
      <c r="A13" t="s">
        <v>7</v>
      </c>
      <c r="B13" t="s">
        <v>897</v>
      </c>
    </row>
    <row r="14" spans="1:2" x14ac:dyDescent="0.35">
      <c r="A14" t="s">
        <v>8</v>
      </c>
      <c r="B14" t="s">
        <v>898</v>
      </c>
    </row>
    <row r="15" spans="1:2" x14ac:dyDescent="0.35">
      <c r="A15" t="s">
        <v>9</v>
      </c>
      <c r="B15" t="s">
        <v>899</v>
      </c>
    </row>
    <row r="16" spans="1:2" x14ac:dyDescent="0.35">
      <c r="A16" t="s">
        <v>10</v>
      </c>
      <c r="B16" t="s">
        <v>900</v>
      </c>
    </row>
    <row r="17" spans="1:2" x14ac:dyDescent="0.35">
      <c r="A17" t="s">
        <v>12</v>
      </c>
      <c r="B17" t="s">
        <v>901</v>
      </c>
    </row>
    <row r="18" spans="1:2" x14ac:dyDescent="0.35">
      <c r="A18" t="s">
        <v>13</v>
      </c>
      <c r="B18" t="s">
        <v>902</v>
      </c>
    </row>
    <row r="19" spans="1:2" x14ac:dyDescent="0.35">
      <c r="A19" t="s">
        <v>14</v>
      </c>
      <c r="B19" t="s">
        <v>903</v>
      </c>
    </row>
    <row r="20" spans="1:2" x14ac:dyDescent="0.35">
      <c r="A20" t="s">
        <v>15</v>
      </c>
      <c r="B20" t="s">
        <v>904</v>
      </c>
    </row>
    <row r="21" spans="1:2" x14ac:dyDescent="0.35">
      <c r="A21" t="s">
        <v>17</v>
      </c>
      <c r="B21" t="s">
        <v>905</v>
      </c>
    </row>
    <row r="22" spans="1:2" x14ac:dyDescent="0.35">
      <c r="A22" t="s">
        <v>18</v>
      </c>
      <c r="B22" t="s">
        <v>906</v>
      </c>
    </row>
    <row r="23" spans="1:2" x14ac:dyDescent="0.35">
      <c r="A23" t="s">
        <v>19</v>
      </c>
      <c r="B23" t="s">
        <v>907</v>
      </c>
    </row>
    <row r="24" spans="1:2" x14ac:dyDescent="0.35">
      <c r="A24" t="s">
        <v>21</v>
      </c>
      <c r="B24" t="s">
        <v>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selection activeCell="C10" sqref="C10"/>
    </sheetView>
  </sheetViews>
  <sheetFormatPr defaultRowHeight="14.5" x14ac:dyDescent="0.35"/>
  <cols>
    <col min="1" max="1" width="32.1796875" customWidth="1"/>
    <col min="2" max="5" width="22" customWidth="1"/>
  </cols>
  <sheetData>
    <row r="1" spans="1:5" x14ac:dyDescent="0.35">
      <c r="A1" t="s">
        <v>932</v>
      </c>
      <c r="B1" t="s">
        <v>913</v>
      </c>
      <c r="C1" t="s">
        <v>914</v>
      </c>
      <c r="D1" t="s">
        <v>915</v>
      </c>
      <c r="E1" s="2"/>
    </row>
    <row r="2" spans="1:5" x14ac:dyDescent="0.35">
      <c r="A2" t="s">
        <v>934</v>
      </c>
      <c r="B2" s="11">
        <v>0</v>
      </c>
      <c r="C2" s="11">
        <f>SUM(C6:C9)</f>
        <v>0.19</v>
      </c>
      <c r="D2" s="11">
        <f>SUM(D6:D9)</f>
        <v>-6.9999999999999993E-2</v>
      </c>
    </row>
    <row r="3" spans="1:5" x14ac:dyDescent="0.35">
      <c r="A3" t="s">
        <v>936</v>
      </c>
      <c r="B3" s="14">
        <f>_xlfn.XLOOKUP(B10,'Data Analysis'!H:H,'Data Analysis'!E:E,0,0)</f>
        <v>274.84912280701752</v>
      </c>
      <c r="C3" s="14">
        <f>B3</f>
        <v>274.84912280701752</v>
      </c>
      <c r="D3" s="14">
        <f>B3</f>
        <v>274.84912280701752</v>
      </c>
    </row>
    <row r="4" spans="1:5" x14ac:dyDescent="0.35">
      <c r="A4" t="s">
        <v>935</v>
      </c>
      <c r="B4" s="14">
        <f>B3*(1+B2)</f>
        <v>274.84912280701752</v>
      </c>
      <c r="C4" s="14">
        <f>B3*(1+C2)</f>
        <v>327.07045614035081</v>
      </c>
      <c r="D4" s="14">
        <f>B3*(1+D2)</f>
        <v>255.6096842105263</v>
      </c>
    </row>
    <row r="5" spans="1:5" x14ac:dyDescent="0.35">
      <c r="A5" t="s">
        <v>937</v>
      </c>
      <c r="B5" s="14">
        <f>B4-B3</f>
        <v>0</v>
      </c>
      <c r="C5" s="14">
        <f>C4-B3</f>
        <v>52.221333333333291</v>
      </c>
      <c r="D5" s="14">
        <f>D4-B3</f>
        <v>-19.239438596491226</v>
      </c>
    </row>
    <row r="6" spans="1:5" x14ac:dyDescent="0.35">
      <c r="A6" s="10" t="s">
        <v>909</v>
      </c>
      <c r="B6" s="11">
        <v>0</v>
      </c>
      <c r="C6" s="11">
        <v>0.12</v>
      </c>
      <c r="D6" s="11">
        <v>-0.15</v>
      </c>
    </row>
    <row r="7" spans="1:5" x14ac:dyDescent="0.35">
      <c r="A7" s="10" t="s">
        <v>910</v>
      </c>
      <c r="B7" s="11">
        <v>0</v>
      </c>
      <c r="C7" s="11">
        <v>-0.05</v>
      </c>
      <c r="D7" s="11">
        <v>0.1</v>
      </c>
    </row>
    <row r="8" spans="1:5" x14ac:dyDescent="0.35">
      <c r="A8" s="10" t="s">
        <v>911</v>
      </c>
      <c r="B8" s="11">
        <v>0</v>
      </c>
      <c r="C8" s="11">
        <v>-0.03</v>
      </c>
      <c r="D8" s="11">
        <v>0.08</v>
      </c>
    </row>
    <row r="9" spans="1:5" x14ac:dyDescent="0.35">
      <c r="A9" s="10" t="s">
        <v>912</v>
      </c>
      <c r="B9" s="11">
        <v>0</v>
      </c>
      <c r="C9" s="11">
        <v>0.15</v>
      </c>
      <c r="D9" s="11">
        <v>-0.1</v>
      </c>
    </row>
    <row r="10" spans="1:5" x14ac:dyDescent="0.35">
      <c r="A10" s="12" t="s">
        <v>933</v>
      </c>
      <c r="B10" s="13" t="s">
        <v>62</v>
      </c>
    </row>
    <row r="22" spans="1:2" x14ac:dyDescent="0.35">
      <c r="A22" s="13"/>
      <c r="B22" s="13"/>
    </row>
  </sheetData>
  <conditionalFormatting sqref="A1:D9">
    <cfRule type="expression" dxfId="2" priority="1">
      <formula>_xlfn.ISFORMULA(A1)</formula>
    </cfRule>
  </conditionalFormatting>
  <conditionalFormatting sqref="A2:D9">
    <cfRule type="expression" dxfId="1" priority="2">
      <formula>_xlfn.ISFORMULA(XFC1)</formula>
    </cfRule>
  </conditionalFormatting>
  <conditionalFormatting sqref="A1:XFD1048576">
    <cfRule type="expression" dxfId="0" priority="3">
      <formula>_xlfn.ISFORMULA(A1)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2B41A1-486E-4835-BC37-24591B037882}">
          <x14:formula1>
            <xm:f>'Data Analysis'!$A$2:$A$8</xm:f>
          </x14:formula1>
          <xm:sqref>B10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9765-2F98-488D-A506-CD012FC63084}">
  <dimension ref="A1:Y8"/>
  <sheetViews>
    <sheetView tabSelected="1" zoomScale="51" zoomScaleNormal="79" workbookViewId="0">
      <pane ySplit="1" topLeftCell="A2" activePane="bottomLeft" state="frozen"/>
      <selection activeCell="I1" sqref="I1"/>
      <selection pane="bottomLeft" activeCell="F77" sqref="F77"/>
    </sheetView>
  </sheetViews>
  <sheetFormatPr defaultRowHeight="14.5" x14ac:dyDescent="0.35"/>
  <cols>
    <col min="1" max="1" width="16.08984375" bestFit="1" customWidth="1"/>
    <col min="2" max="2" width="20.6328125" customWidth="1"/>
    <col min="3" max="3" width="21" customWidth="1"/>
    <col min="4" max="4" width="19.08984375" bestFit="1" customWidth="1"/>
    <col min="5" max="5" width="19.6328125" bestFit="1" customWidth="1"/>
    <col min="6" max="6" width="33.26953125" customWidth="1"/>
    <col min="8" max="8" width="16.08984375" bestFit="1" customWidth="1"/>
    <col min="9" max="9" width="18.81640625" customWidth="1"/>
    <col min="10" max="10" width="15.1796875" customWidth="1"/>
    <col min="11" max="11" width="22.54296875" customWidth="1"/>
    <col min="12" max="12" width="43.08984375" customWidth="1"/>
    <col min="13" max="16" width="41.7265625" customWidth="1"/>
    <col min="17" max="17" width="27.1796875" customWidth="1"/>
    <col min="18" max="18" width="47.08984375" style="9" customWidth="1"/>
    <col min="22" max="22" width="18.36328125" bestFit="1" customWidth="1"/>
    <col min="23" max="23" width="16.6328125" customWidth="1"/>
    <col min="24" max="24" width="22.08984375" customWidth="1"/>
    <col min="25" max="25" width="31.54296875" customWidth="1"/>
  </cols>
  <sheetData>
    <row r="1" spans="1:25" x14ac:dyDescent="0.35">
      <c r="A1" t="s">
        <v>916</v>
      </c>
      <c r="B1" t="s">
        <v>917</v>
      </c>
      <c r="C1" t="s">
        <v>918</v>
      </c>
      <c r="D1" t="s">
        <v>919</v>
      </c>
      <c r="E1" t="s">
        <v>920</v>
      </c>
      <c r="F1" t="s">
        <v>921</v>
      </c>
      <c r="H1" t="s">
        <v>916</v>
      </c>
      <c r="I1" s="6" t="s">
        <v>922</v>
      </c>
      <c r="J1" t="s">
        <v>923</v>
      </c>
      <c r="K1" t="s">
        <v>924</v>
      </c>
      <c r="L1" t="s">
        <v>925</v>
      </c>
      <c r="M1" t="s">
        <v>927</v>
      </c>
      <c r="N1" t="s">
        <v>928</v>
      </c>
      <c r="O1" t="s">
        <v>929</v>
      </c>
      <c r="P1" t="s">
        <v>930</v>
      </c>
      <c r="Q1" t="s">
        <v>926</v>
      </c>
      <c r="R1" s="9" t="s">
        <v>931</v>
      </c>
      <c r="V1" t="s">
        <v>916</v>
      </c>
      <c r="W1" t="s">
        <v>939</v>
      </c>
      <c r="X1" t="s">
        <v>919</v>
      </c>
      <c r="Y1" t="s">
        <v>940</v>
      </c>
    </row>
    <row r="2" spans="1:25" x14ac:dyDescent="0.35">
      <c r="A2" t="s">
        <v>24</v>
      </c>
      <c r="B2">
        <f>COUNTIF(Project_Data!C:C,'Data Analysis'!A2)</f>
        <v>72</v>
      </c>
      <c r="C2" s="4">
        <f>AVERAGEIF(Project_Data!C:C,'Data Analysis'!A2,Project_Data!H:H)</f>
        <v>2019.4777777777776</v>
      </c>
      <c r="D2" s="3">
        <f>AVERAGEIF(Project_Data!C:C,'Data Analysis'!A2,Project_Data!R:R)</f>
        <v>6.7652777777777793</v>
      </c>
      <c r="E2" s="4">
        <f>AVERAGEIF(Project_Data!C:C,'Data Analysis'!A2,Project_Data!S:S)</f>
        <v>445.60694444444431</v>
      </c>
      <c r="F2" s="3">
        <f>AVERAGEIF(Project_Data!C:C,'Data Analysis'!A2,Project_Data!K:K)</f>
        <v>1481.3873611111112</v>
      </c>
      <c r="H2" t="s">
        <v>24</v>
      </c>
      <c r="I2" s="5">
        <f>COUNTIFS(Project_Data!C:C,'Data Analysis'!H2,Project_Data!M:M,"High")/COUNTIF(Project_Data!C:C,'Data Analysis'!H2)</f>
        <v>0.18055555555555555</v>
      </c>
      <c r="J2" s="5">
        <f>COUNTIFS(Project_Data!C:C,'Data Analysis'!H2,Project_Data!N:N,"High")/COUNTIF(Project_Data!C:C,'Data Analysis'!H2)</f>
        <v>0.19444444444444445</v>
      </c>
      <c r="K2" s="5">
        <f>COUNTIFS(Project_Data!C:C,'Data Analysis'!H2,Project_Data!O:O,"High")/COUNTIF(Project_Data!C:C,'Data Analysis'!H2)</f>
        <v>0.20833333333333334</v>
      </c>
      <c r="L2" s="5">
        <f>COUNTIFS(Project_Data!C:C,'Data Analysis'!A2,Project_Data!P:P,"Commercial")/COUNTIF(Project_Data!C:C,'Data Analysis'!A2)</f>
        <v>0.2638888888888889</v>
      </c>
      <c r="M2" s="7">
        <f>ROUND(1+4*(7-AVERAGE(_xlfn.RANK.EQ(D2,$D$2:$D$8,0),_xlfn.RANK.EQ(E2,$E$2:$E$8,0)))/6,0)</f>
        <v>4</v>
      </c>
      <c r="N2" s="7">
        <f>ROUND(1+4*(7-_xlfn.RANK.EQ(F2,$F$2:$F$8,0))/6,0)</f>
        <v>5</v>
      </c>
      <c r="O2" s="7">
        <f>ROUND(1+4*(7-AVERAGE(_xlfn.RANK.EQ(I2,$I$2:$I$8,1),_xlfn.RANK.EQ(J2,$J$2:$J$8,1),_xlfn.RANK.EQ(K2,$K$2:$K$8,1)))/6,0)</f>
        <v>2</v>
      </c>
      <c r="P2" s="7">
        <f>ROUND(1+4*(7-_xlfn.RANK.EQ(L2,$L$2:$L$8,0))/6,0)</f>
        <v>1</v>
      </c>
      <c r="Q2" s="8">
        <f>ROUND(AVERAGE(M2:P2),0)</f>
        <v>3</v>
      </c>
      <c r="R2" s="9" t="s">
        <v>941</v>
      </c>
      <c r="V2" t="s">
        <v>24</v>
      </c>
      <c r="W2">
        <v>2</v>
      </c>
      <c r="X2" s="3">
        <v>6.7652777777777793</v>
      </c>
      <c r="Y2" s="3">
        <f>Table5[[#This Row],[Average ROI (%)]]/Table5[[#This Row],[Risk Profile]]</f>
        <v>3.3826388888888896</v>
      </c>
    </row>
    <row r="3" spans="1:25" x14ac:dyDescent="0.35">
      <c r="A3" t="s">
        <v>62</v>
      </c>
      <c r="B3">
        <f>COUNTIF(Project_Data!C:C,'Data Analysis'!A3)</f>
        <v>57</v>
      </c>
      <c r="C3" s="4">
        <f>AVERAGEIF(Project_Data!C:C,'Data Analysis'!A3,Project_Data!H:H)</f>
        <v>368.81052631578928</v>
      </c>
      <c r="D3" s="3">
        <f>AVERAGEIF(Project_Data!C:C,'Data Analysis'!A3,Project_Data!R:R)</f>
        <v>9.5561403508771985</v>
      </c>
      <c r="E3" s="4">
        <f>AVERAGEIF(Project_Data!C:C,'Data Analysis'!A3,Project_Data!S:S)</f>
        <v>274.84912280701752</v>
      </c>
      <c r="F3" s="3">
        <f>AVERAGEIF(Project_Data!C:C,'Data Analysis'!A3,Project_Data!K:K)</f>
        <v>138.43421052631572</v>
      </c>
      <c r="H3" t="s">
        <v>62</v>
      </c>
      <c r="I3" s="5">
        <f>COUNTIFS(Project_Data!C:C,'Data Analysis'!H3,Project_Data!M:M,"High")/COUNTIF(Project_Data!C:C,'Data Analysis'!H3)</f>
        <v>0.21052631578947367</v>
      </c>
      <c r="J3" s="5">
        <f>COUNTIFS(Project_Data!C:C,'Data Analysis'!H3,Project_Data!N:N,"High")/COUNTIF(Project_Data!C:C,'Data Analysis'!H3)</f>
        <v>0.10526315789473684</v>
      </c>
      <c r="K3" s="5">
        <f>COUNTIFS(Project_Data!C:C,'Data Analysis'!H3,Project_Data!O:O,"High")/COUNTIF(Project_Data!C:C,'Data Analysis'!H3)</f>
        <v>0.14035087719298245</v>
      </c>
      <c r="L3" s="5">
        <f>COUNTIFS(Project_Data!C:C,'Data Analysis'!A3,Project_Data!P:P,"Commercial")/COUNTIF(Project_Data!C:C,'Data Analysis'!A3)</f>
        <v>0.35087719298245612</v>
      </c>
      <c r="M3" s="7">
        <f>ROUND(1+4*(7-AVERAGE(_xlfn.RANK.EQ(D3,$D$2:$D$8,0),_xlfn.RANK.EQ(E3,$E$2:$E$8,0)))/6,0)</f>
        <v>4</v>
      </c>
      <c r="N3" s="7">
        <f>ROUND(1+4*(7-_xlfn.RANK.EQ(F3,$F$2:$F$8,0))/6,0)</f>
        <v>3</v>
      </c>
      <c r="O3" s="7">
        <f>ROUND(1+4*(7-AVERAGE(_xlfn.RANK.EQ(I3,$I$2:$I$8,1),_xlfn.RANK.EQ(J3,$J$2:$J$8,1),_xlfn.RANK.EQ(K3,$K$2:$K$8,1)))/6,0)</f>
        <v>3</v>
      </c>
      <c r="P3" s="7">
        <f>ROUND(1+4*(7-_xlfn.RANK.EQ(L3,$L$2:$L$8,0))/6,0)</f>
        <v>4</v>
      </c>
      <c r="Q3" s="8">
        <f>ROUND(AVERAGE(M3:P3),0)</f>
        <v>4</v>
      </c>
      <c r="R3" s="9" t="s">
        <v>942</v>
      </c>
      <c r="V3" t="s">
        <v>43</v>
      </c>
      <c r="W3">
        <v>3</v>
      </c>
      <c r="X3" s="3">
        <v>9.8533333333333317</v>
      </c>
      <c r="Y3" s="3">
        <f>Table5[[#This Row],[Average ROI (%)]]/Table5[[#This Row],[Risk Profile]]</f>
        <v>3.2844444444444441</v>
      </c>
    </row>
    <row r="4" spans="1:25" x14ac:dyDescent="0.35">
      <c r="A4" t="s">
        <v>39</v>
      </c>
      <c r="B4">
        <f>COUNTIF(Project_Data!C:C,'Data Analysis'!A4)</f>
        <v>65</v>
      </c>
      <c r="C4" s="4">
        <f>AVERAGEIF(Project_Data!C:C,'Data Analysis'!A4,Project_Data!H:H)</f>
        <v>777.88307692307694</v>
      </c>
      <c r="D4" s="3">
        <f>AVERAGEIF(Project_Data!C:C,'Data Analysis'!A4,Project_Data!R:R)</f>
        <v>5.2307692307692299</v>
      </c>
      <c r="E4" s="4">
        <f>AVERAGEIF(Project_Data!C:C,'Data Analysis'!A4,Project_Data!S:S)</f>
        <v>115.68769230769227</v>
      </c>
      <c r="F4" s="3">
        <f>AVERAGEIF(Project_Data!C:C,'Data Analysis'!A4,Project_Data!K:K)</f>
        <v>215.50307692307689</v>
      </c>
      <c r="H4" t="s">
        <v>39</v>
      </c>
      <c r="I4" s="5">
        <f>COUNTIFS(Project_Data!C:C,'Data Analysis'!H4,Project_Data!M:M,"High")/COUNTIF(Project_Data!C:C,'Data Analysis'!H4)</f>
        <v>0.13846153846153847</v>
      </c>
      <c r="J4" s="5">
        <f>COUNTIFS(Project_Data!C:C,'Data Analysis'!H4,Project_Data!N:N,"High")/COUNTIF(Project_Data!C:C,'Data Analysis'!H4)</f>
        <v>0.16923076923076924</v>
      </c>
      <c r="K4" s="5">
        <f>COUNTIFS(Project_Data!C:C,'Data Analysis'!H4,Project_Data!O:O,"High")/COUNTIF(Project_Data!C:C,'Data Analysis'!H4)</f>
        <v>0.18461538461538463</v>
      </c>
      <c r="L4" s="5">
        <f>COUNTIFS(Project_Data!C:C,'Data Analysis'!A4,Project_Data!P:P,"Commercial")/COUNTIF(Project_Data!C:C,'Data Analysis'!A4)</f>
        <v>0.29230769230769232</v>
      </c>
      <c r="M4" s="7">
        <f>ROUND(1+4*(7-AVERAGE(_xlfn.RANK.EQ(D4,$D$2:$D$8,0),_xlfn.RANK.EQ(E4,$E$2:$E$8,0)))/6,0)</f>
        <v>3</v>
      </c>
      <c r="N4" s="7">
        <f>ROUND(1+4*(7-_xlfn.RANK.EQ(F4,$F$2:$F$8,0))/6,0)</f>
        <v>4</v>
      </c>
      <c r="O4" s="7">
        <f>ROUND(1+4*(7-AVERAGE(_xlfn.RANK.EQ(I4,$I$2:$I$8,1),_xlfn.RANK.EQ(J4,$J$2:$J$8,1),_xlfn.RANK.EQ(K4,$K$2:$K$8,1)))/6,0)</f>
        <v>3</v>
      </c>
      <c r="P4" s="7">
        <f>ROUND(1+4*(7-_xlfn.RANK.EQ(L4,$L$2:$L$8,0))/6,0)</f>
        <v>3</v>
      </c>
      <c r="Q4" s="8">
        <f>ROUND(AVERAGE(M4:P4),0)</f>
        <v>3</v>
      </c>
      <c r="R4" s="9" t="s">
        <v>943</v>
      </c>
      <c r="V4" t="s">
        <v>62</v>
      </c>
      <c r="W4">
        <v>3</v>
      </c>
      <c r="X4" s="3">
        <v>9.5561403508771985</v>
      </c>
      <c r="Y4" s="3">
        <f>Table5[[#This Row],[Average ROI (%)]]/Table5[[#This Row],[Risk Profile]]</f>
        <v>3.1853801169590663</v>
      </c>
    </row>
    <row r="5" spans="1:25" x14ac:dyDescent="0.35">
      <c r="A5" t="s">
        <v>97</v>
      </c>
      <c r="B5">
        <f>COUNTIF(Project_Data!C:C,'Data Analysis'!A5)</f>
        <v>51</v>
      </c>
      <c r="C5" s="4">
        <f>AVERAGEIF(Project_Data!C:C,'Data Analysis'!A5,Project_Data!H:H)</f>
        <v>240.36274509803926</v>
      </c>
      <c r="D5" s="3">
        <f>AVERAGEIF(Project_Data!C:C,'Data Analysis'!A5,Project_Data!R:R)</f>
        <v>6.5274509803921541</v>
      </c>
      <c r="E5" s="4">
        <f>AVERAGEIF(Project_Data!C:C,'Data Analysis'!A5,Project_Data!S:S)</f>
        <v>-29.650980392156853</v>
      </c>
      <c r="F5" s="3">
        <f>AVERAGEIF(Project_Data!C:C,'Data Analysis'!A5,Project_Data!K:K)</f>
        <v>72.581568627450977</v>
      </c>
      <c r="H5" t="s">
        <v>97</v>
      </c>
      <c r="I5" s="5">
        <f>COUNTIFS(Project_Data!C:C,'Data Analysis'!H5,Project_Data!M:M,"High")/COUNTIF(Project_Data!C:C,'Data Analysis'!H5)</f>
        <v>9.8039215686274508E-2</v>
      </c>
      <c r="J5" s="5">
        <f>COUNTIFS(Project_Data!C:C,'Data Analysis'!H5,Project_Data!N:N,"High")/COUNTIF(Project_Data!C:C,'Data Analysis'!H5)</f>
        <v>0.17647058823529413</v>
      </c>
      <c r="K5" s="5">
        <f>COUNTIFS(Project_Data!C:C,'Data Analysis'!H5,Project_Data!O:O,"High")/COUNTIF(Project_Data!C:C,'Data Analysis'!H5)</f>
        <v>0.11764705882352941</v>
      </c>
      <c r="L5" s="5">
        <f>COUNTIFS(Project_Data!C:C,'Data Analysis'!A5,Project_Data!P:P,"Commercial")/COUNTIF(Project_Data!C:C,'Data Analysis'!A5)</f>
        <v>0.43137254901960786</v>
      </c>
      <c r="M5" s="7">
        <f>ROUND(1+4*(7-AVERAGE(_xlfn.RANK.EQ(D5,$D$2:$D$8,0),_xlfn.RANK.EQ(E5,$E$2:$E$8,0)))/6,0)</f>
        <v>3</v>
      </c>
      <c r="N5" s="7">
        <f>ROUND(1+4*(7-_xlfn.RANK.EQ(F5,$F$2:$F$8,0))/6,0)</f>
        <v>2</v>
      </c>
      <c r="O5" s="7">
        <f>ROUND(1+4*(7-AVERAGE(_xlfn.RANK.EQ(I5,$I$2:$I$8,1),_xlfn.RANK.EQ(J5,$J$2:$J$8,1),_xlfn.RANK.EQ(K5,$K$2:$K$8,1)))/6,0)</f>
        <v>4</v>
      </c>
      <c r="P5" s="7">
        <f>ROUND(1+4*(7-_xlfn.RANK.EQ(L5,$L$2:$L$8,0))/6,0)</f>
        <v>5</v>
      </c>
      <c r="Q5" s="8">
        <f>ROUND(AVERAGE(M5:P5),0)</f>
        <v>4</v>
      </c>
      <c r="R5" s="9" t="s">
        <v>944</v>
      </c>
      <c r="V5" t="s">
        <v>39</v>
      </c>
      <c r="W5">
        <v>3</v>
      </c>
      <c r="X5" s="3">
        <v>5.2307692307692299</v>
      </c>
      <c r="Y5" s="3">
        <f>Table5[[#This Row],[Average ROI (%)]]/Table5[[#This Row],[Risk Profile]]</f>
        <v>1.7435897435897434</v>
      </c>
    </row>
    <row r="6" spans="1:25" x14ac:dyDescent="0.35">
      <c r="A6" t="s">
        <v>43</v>
      </c>
      <c r="B6">
        <f>COUNTIF(Project_Data!C:C,'Data Analysis'!A6)</f>
        <v>60</v>
      </c>
      <c r="C6" s="4">
        <f>AVERAGEIF(Project_Data!C:C,'Data Analysis'!A6,Project_Data!H:H)</f>
        <v>545.36500000000001</v>
      </c>
      <c r="D6" s="3">
        <f>AVERAGEIF(Project_Data!C:C,'Data Analysis'!A6,Project_Data!R:R)</f>
        <v>9.8533333333333317</v>
      </c>
      <c r="E6" s="4">
        <f>AVERAGEIF(Project_Data!C:C,'Data Analysis'!A6,Project_Data!S:S)</f>
        <v>20.21166666666668</v>
      </c>
      <c r="F6" s="3">
        <f>AVERAGEIF(Project_Data!C:C,'Data Analysis'!A6,Project_Data!K:K)</f>
        <v>102.22983333333335</v>
      </c>
      <c r="H6" t="s">
        <v>43</v>
      </c>
      <c r="I6" s="5">
        <f>COUNTIFS(Project_Data!C:C,'Data Analysis'!H6,Project_Data!M:M,"High")/COUNTIF(Project_Data!C:C,'Data Analysis'!H6)</f>
        <v>0.2</v>
      </c>
      <c r="J6" s="5">
        <f>COUNTIFS(Project_Data!C:C,'Data Analysis'!H6,Project_Data!N:N,"High")/COUNTIF(Project_Data!C:C,'Data Analysis'!H6)</f>
        <v>0.13333333333333333</v>
      </c>
      <c r="K6" s="5">
        <f>COUNTIFS(Project_Data!C:C,'Data Analysis'!H6,Project_Data!O:O,"High")/COUNTIF(Project_Data!C:C,'Data Analysis'!H6)</f>
        <v>0.21666666666666667</v>
      </c>
      <c r="L6" s="5">
        <f>COUNTIFS(Project_Data!C:C,'Data Analysis'!A6,Project_Data!P:P,"Commercial")/COUNTIF(Project_Data!C:C,'Data Analysis'!A6)</f>
        <v>0.28333333333333333</v>
      </c>
      <c r="M6" s="7">
        <f>ROUND(1+4*(7-AVERAGE(_xlfn.RANK.EQ(D6,$D$2:$D$8,0),_xlfn.RANK.EQ(E6,$E$2:$E$8,0)))/6,0)</f>
        <v>4</v>
      </c>
      <c r="N6" s="7">
        <f>ROUND(1+4*(7-_xlfn.RANK.EQ(F6,$F$2:$F$8,0))/6,0)</f>
        <v>2</v>
      </c>
      <c r="O6" s="7">
        <f>ROUND(1+4*(7-AVERAGE(_xlfn.RANK.EQ(I6,$I$2:$I$8,1),_xlfn.RANK.EQ(J6,$J$2:$J$8,1),_xlfn.RANK.EQ(K6,$K$2:$K$8,1)))/6,0)</f>
        <v>3</v>
      </c>
      <c r="P6" s="7">
        <f>ROUND(1+4*(7-_xlfn.RANK.EQ(L6,$L$2:$L$8,0))/6,0)</f>
        <v>2</v>
      </c>
      <c r="Q6" s="8">
        <f>ROUND(AVERAGE(M6:P6),0)</f>
        <v>3</v>
      </c>
      <c r="R6" s="9" t="s">
        <v>945</v>
      </c>
      <c r="V6" t="s">
        <v>120</v>
      </c>
      <c r="W6">
        <v>2</v>
      </c>
      <c r="X6">
        <v>3.2800000000000002</v>
      </c>
      <c r="Y6" s="3">
        <f>Table5[[#This Row],[Average ROI (%)]]/Table5[[#This Row],[Risk Profile]]</f>
        <v>1.6400000000000001</v>
      </c>
    </row>
    <row r="7" spans="1:25" x14ac:dyDescent="0.35">
      <c r="A7" t="s">
        <v>32</v>
      </c>
      <c r="B7">
        <f>COUNTIF(Project_Data!C:C,'Data Analysis'!A7)</f>
        <v>60</v>
      </c>
      <c r="C7" s="4">
        <f>AVERAGEIF(Project_Data!C:C,'Data Analysis'!A7,Project_Data!H:H)</f>
        <v>1663.615</v>
      </c>
      <c r="D7" s="3">
        <f>AVERAGEIF(Project_Data!C:C,'Data Analysis'!A7,Project_Data!R:R)</f>
        <v>-0.29999999999999977</v>
      </c>
      <c r="E7" s="4">
        <f>AVERAGEIF(Project_Data!C:C,'Data Analysis'!A7,Project_Data!S:S)</f>
        <v>-1657.2316666666666</v>
      </c>
      <c r="F7" s="3">
        <f>AVERAGEIF(Project_Data!C:C,'Data Analysis'!A7,Project_Data!K:K)</f>
        <v>16.086999999999996</v>
      </c>
      <c r="H7" t="s">
        <v>32</v>
      </c>
      <c r="I7" s="5">
        <f>COUNTIFS(Project_Data!C:C,'Data Analysis'!H7,Project_Data!M:M,"High")/COUNTIF(Project_Data!C:C,'Data Analysis'!H7)</f>
        <v>0.2</v>
      </c>
      <c r="J7" s="5">
        <f>COUNTIFS(Project_Data!C:C,'Data Analysis'!H7,Project_Data!N:N,"High")/COUNTIF(Project_Data!C:C,'Data Analysis'!H7)</f>
        <v>0.16666666666666666</v>
      </c>
      <c r="K7" s="5">
        <f>COUNTIFS(Project_Data!C:C,'Data Analysis'!H7,Project_Data!O:O,"High")/COUNTIF(Project_Data!C:C,'Data Analysis'!H7)</f>
        <v>0.16666666666666666</v>
      </c>
      <c r="L7" s="5">
        <f>COUNTIFS(Project_Data!C:C,'Data Analysis'!A7,Project_Data!P:P,"Commercial")/COUNTIF(Project_Data!C:C,'Data Analysis'!A7)</f>
        <v>0.26666666666666666</v>
      </c>
      <c r="M7" s="7">
        <f>ROUND(1+4*(7-AVERAGE(_xlfn.RANK.EQ(D7,$D$2:$D$8,0),_xlfn.RANK.EQ(E7,$E$2:$E$8,0)))/6,0)</f>
        <v>1</v>
      </c>
      <c r="N7" s="7">
        <f>ROUND(1+4*(7-_xlfn.RANK.EQ(F7,$F$2:$F$8,0))/6,0)</f>
        <v>1</v>
      </c>
      <c r="O7" s="7">
        <f>ROUND(1+4*(7-AVERAGE(_xlfn.RANK.EQ(I7,$I$2:$I$8,1),_xlfn.RANK.EQ(J7,$J$2:$J$8,1),_xlfn.RANK.EQ(K7,$K$2:$K$8,1)))/6,0)</f>
        <v>3</v>
      </c>
      <c r="P7" s="7">
        <f>ROUND(1+4*(7-_xlfn.RANK.EQ(L7,$L$2:$L$8,0))/6,0)</f>
        <v>2</v>
      </c>
      <c r="Q7" s="8">
        <f>ROUND(AVERAGE(M7:P7),0)</f>
        <v>2</v>
      </c>
      <c r="R7" s="9" t="s">
        <v>946</v>
      </c>
      <c r="V7" t="s">
        <v>97</v>
      </c>
      <c r="W7">
        <v>4</v>
      </c>
      <c r="X7" s="3">
        <v>6.5274509803921541</v>
      </c>
      <c r="Y7" s="3">
        <f>Table5[[#This Row],[Average ROI (%)]]/Table5[[#This Row],[Risk Profile]]</f>
        <v>1.6318627450980385</v>
      </c>
    </row>
    <row r="8" spans="1:25" x14ac:dyDescent="0.35">
      <c r="A8" t="s">
        <v>120</v>
      </c>
      <c r="B8">
        <f>COUNTIF(Project_Data!C:C,'Data Analysis'!A8)</f>
        <v>55</v>
      </c>
      <c r="C8" s="4">
        <f>AVERAGEIF(Project_Data!C:C,'Data Analysis'!A8,Project_Data!H:H)</f>
        <v>1456.8363636363636</v>
      </c>
      <c r="D8" s="3">
        <f>AVERAGEIF(Project_Data!C:C,'Data Analysis'!A8,Project_Data!R:R)</f>
        <v>3.2800000000000002</v>
      </c>
      <c r="E8" s="4">
        <f>AVERAGEIF(Project_Data!C:C,'Data Analysis'!A8,Project_Data!S:S)</f>
        <v>-784.66000000000008</v>
      </c>
      <c r="F8" s="3">
        <f>AVERAGEIF(Project_Data!C:C,'Data Analysis'!A8,Project_Data!K:K)</f>
        <v>921.79909090909086</v>
      </c>
      <c r="H8" t="s">
        <v>120</v>
      </c>
      <c r="I8" s="5">
        <f>COUNTIFS(Project_Data!C:C,'Data Analysis'!H8,Project_Data!M:M,"High")/COUNTIF(Project_Data!C:C,'Data Analysis'!H8)</f>
        <v>0.12727272727272726</v>
      </c>
      <c r="J8" s="5">
        <f>COUNTIFS(Project_Data!C:C,'Data Analysis'!H8,Project_Data!N:N,"High")/COUNTIF(Project_Data!C:C,'Data Analysis'!H8)</f>
        <v>0.21818181818181817</v>
      </c>
      <c r="K8" s="5">
        <f>COUNTIFS(Project_Data!C:C,'Data Analysis'!H8,Project_Data!O:O,"High")/COUNTIF(Project_Data!C:C,'Data Analysis'!H8)</f>
        <v>0.25454545454545452</v>
      </c>
      <c r="L8" s="5">
        <f>COUNTIFS(Project_Data!C:C,'Data Analysis'!A8,Project_Data!P:P,"Commercial")/COUNTIF(Project_Data!C:C,'Data Analysis'!A8)</f>
        <v>0.30909090909090908</v>
      </c>
      <c r="M8" s="7">
        <f>ROUND(1+4*(7-AVERAGE(_xlfn.RANK.EQ(D8,$D$2:$D$8,0),_xlfn.RANK.EQ(E8,$E$2:$E$8,0)))/6,0)</f>
        <v>2</v>
      </c>
      <c r="N8" s="7">
        <f>ROUND(1+4*(7-_xlfn.RANK.EQ(F8,$F$2:$F$8,0))/6,0)</f>
        <v>4</v>
      </c>
      <c r="O8" s="7">
        <f>ROUND(1+4*(7-AVERAGE(_xlfn.RANK.EQ(I8,$I$2:$I$8,1),_xlfn.RANK.EQ(J8,$J$2:$J$8,1),_xlfn.RANK.EQ(K8,$K$2:$K$8,1)))/6,0)</f>
        <v>2</v>
      </c>
      <c r="P8" s="7">
        <f>ROUND(1+4*(7-_xlfn.RANK.EQ(L8,$L$2:$L$8,0))/6,0)</f>
        <v>4</v>
      </c>
      <c r="Q8" s="8">
        <f>ROUND(AVERAGE(M8:P8),0)</f>
        <v>3</v>
      </c>
      <c r="R8" s="9" t="s">
        <v>947</v>
      </c>
      <c r="V8" t="s">
        <v>32</v>
      </c>
      <c r="W8">
        <v>3</v>
      </c>
      <c r="X8" s="3">
        <v>-0.29999999999999977</v>
      </c>
      <c r="Y8" s="3">
        <f>Table5[[#This Row],[Average ROI (%)]]/Table5[[#This Row],[Risk Profile]]</f>
        <v>-9.9999999999999922E-2</v>
      </c>
    </row>
  </sheetData>
  <conditionalFormatting sqref="Y2:Y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xWindow="1305" yWindow="232" count="8">
    <dataValidation allowBlank="1" showInputMessage="1" showErrorMessage="1" prompt="What percentage of projects within each asset type have High Planning Risk?" sqref="I1" xr:uid="{8D4F485E-8C6A-47BC-928A-E0D739018347}"/>
    <dataValidation allowBlank="1" showInputMessage="1" showErrorMessage="1" prompt="What percentage of projects within each asset type have High Grid Risk?" sqref="J1" xr:uid="{47F19C84-5C1F-423B-AB55-C86C0FE72A4E}"/>
    <dataValidation allowBlank="1" showInputMessage="1" showErrorMessage="1" prompt="What percentage of projects within each asset type have High Supplly Chain Risk?" sqref="K1" xr:uid="{E35985B4-60F6-4533-BE7C-D8F582FC6513}"/>
    <dataValidation allowBlank="1" showInputMessage="1" showErrorMessage="1" prompt="Overall financial performance based on ROI &amp; NPV. 1 = weakest, 5 = strongest" sqref="M1" xr:uid="{418032E3-2691-411E-B4F6-F43042E8B7AC}"/>
    <dataValidation allowBlank="1" showInputMessage="1" showErrorMessage="1" prompt="Overall project risk across key risk areas. 1 = highest, 5 = lowest" sqref="O1" xr:uid="{920BA78A-434C-4E15-8CB3-006ACA23836F}"/>
    <dataValidation allowBlank="1" showInputMessage="1" showErrorMessage="1" prompt="Relative carbon-saving performance. 1 = lowest, 5 = highest" sqref="N1" xr:uid="{CE2B3777-EBBC-4321-8EC4-9D691FFF4A3D}"/>
    <dataValidation allowBlank="1" showInputMessage="1" showErrorMessage="1" prompt="Technology maturity based on project readiness. 1 = lowest, 5 = highest" sqref="P1" xr:uid="{C3C94F1E-7B34-4EA0-99F6-C3B796505D17}"/>
    <dataValidation allowBlank="1" showInputMessage="1" showErrorMessage="1" prompt="Overall project attractiveness across financial, carbon, risk and technology factors." sqref="Q1" xr:uid="{54AB97B0-EE11-4519-B644-BC5EBAABC88C}"/>
  </dataValidations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Project_Data</vt:lpstr>
      <vt:lpstr>Read_Me</vt:lpstr>
      <vt:lpstr>Assumptions-What-If Analysis</vt:lpstr>
      <vt:lpstr>Data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Duvwiama</cp:lastModifiedBy>
  <dcterms:created xsi:type="dcterms:W3CDTF">2026-09-13T09:12:53Z</dcterms:created>
  <dcterms:modified xsi:type="dcterms:W3CDTF">2026-09-15T07:44:48Z</dcterms:modified>
</cp:coreProperties>
</file>